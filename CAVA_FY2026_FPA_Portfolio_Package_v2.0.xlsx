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poli\Desktop\Black Slate Studio\Cava\"/>
    </mc:Choice>
  </mc:AlternateContent>
  <xr:revisionPtr revIDLastSave="0" documentId="13_ncr:1_{70612D5C-24A6-4BBE-9073-8F283FE9D2F2}" xr6:coauthVersionLast="47" xr6:coauthVersionMax="47" xr10:uidLastSave="{00000000-0000-0000-0000-000000000000}"/>
  <bookViews>
    <workbookView xWindow="-28920" yWindow="-120" windowWidth="29040" windowHeight="16440" tabRatio="885" activeTab="1" xr2:uid="{00000000-000D-0000-FFFF-FFFF00000000}"/>
  </bookViews>
  <sheets>
    <sheet name="KPI Dashboard" sheetId="1" r:id="rId1"/>
    <sheet name="Guidance vs Actual" sheetId="2" r:id="rId2"/>
    <sheet name="Quarterly Trend" sheetId="3" r:id="rId3"/>
    <sheet name="FY25 Actuals" sheetId="4" r:id="rId4"/>
    <sheet name="FY26 RL Assumptions" sheetId="5" r:id="rId5"/>
    <sheet name="FY26 RL Forecast" sheetId="6" r:id="rId6"/>
    <sheet name="Margin Reconciliation" sheetId="7" r:id="rId7"/>
    <sheet name="Scenario Summary" sheetId="8" r:id="rId8"/>
    <sheet name="Model Guide" sheetId="9" r:id="rId9"/>
    <sheet name="Data Gaps" sheetId="10" r:id="rId10"/>
    <sheet name="Source Register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7" l="1"/>
  <c r="B5" i="7"/>
  <c r="F13" i="4"/>
  <c r="D13" i="8"/>
  <c r="C13" i="8"/>
  <c r="B13" i="8"/>
  <c r="D12" i="8"/>
  <c r="C12" i="8"/>
  <c r="B12" i="8"/>
  <c r="D10" i="8"/>
  <c r="C10" i="8"/>
  <c r="B10" i="8"/>
  <c r="D5" i="8"/>
  <c r="C5" i="8"/>
  <c r="B5" i="8"/>
  <c r="D4" i="8"/>
  <c r="C4" i="8"/>
  <c r="B4" i="8"/>
  <c r="D14" i="7"/>
  <c r="B14" i="7"/>
  <c r="D11" i="7"/>
  <c r="M4" i="7"/>
  <c r="F14" i="6"/>
  <c r="D14" i="6" s="1"/>
  <c r="E14" i="6"/>
  <c r="E15" i="5"/>
  <c r="D15" i="5"/>
  <c r="C15" i="5"/>
  <c r="B15" i="5"/>
  <c r="F14" i="5"/>
  <c r="E14" i="5"/>
  <c r="D14" i="5"/>
  <c r="C14" i="5"/>
  <c r="B14" i="5"/>
  <c r="F12" i="5"/>
  <c r="E12" i="5"/>
  <c r="D12" i="5"/>
  <c r="C12" i="5"/>
  <c r="B12" i="5"/>
  <c r="F11" i="5"/>
  <c r="E11" i="5"/>
  <c r="D11" i="5"/>
  <c r="C11" i="5"/>
  <c r="B11" i="5"/>
  <c r="E10" i="5"/>
  <c r="E9" i="5"/>
  <c r="D9" i="5"/>
  <c r="C9" i="5"/>
  <c r="B9" i="5"/>
  <c r="H8" i="5"/>
  <c r="C9" i="6" s="1"/>
  <c r="D8" i="5"/>
  <c r="I8" i="5" s="1"/>
  <c r="D9" i="6" s="1"/>
  <c r="C8" i="5"/>
  <c r="B8" i="5"/>
  <c r="G8" i="5" s="1"/>
  <c r="B9" i="6" s="1"/>
  <c r="E7" i="5"/>
  <c r="J7" i="5" s="1"/>
  <c r="E7" i="6" s="1"/>
  <c r="D7" i="5"/>
  <c r="I7" i="5" s="1"/>
  <c r="D7" i="6" s="1"/>
  <c r="F6" i="5"/>
  <c r="E6" i="5"/>
  <c r="D6" i="5"/>
  <c r="C6" i="5"/>
  <c r="B6" i="5"/>
  <c r="F4" i="5"/>
  <c r="B5" i="5" s="1"/>
  <c r="E4" i="5"/>
  <c r="D4" i="5"/>
  <c r="D5" i="5" s="1"/>
  <c r="I5" i="5" s="1"/>
  <c r="C4" i="5"/>
  <c r="B4" i="5"/>
  <c r="F15" i="4"/>
  <c r="F9" i="5" s="1"/>
  <c r="F14" i="4"/>
  <c r="E12" i="4"/>
  <c r="D12" i="4"/>
  <c r="D10" i="5" s="1"/>
  <c r="C12" i="4"/>
  <c r="C36" i="1" s="1"/>
  <c r="B12" i="4"/>
  <c r="B36" i="1" s="1"/>
  <c r="F11" i="4"/>
  <c r="F12" i="4" s="1"/>
  <c r="E10" i="4"/>
  <c r="E8" i="5" s="1"/>
  <c r="J8" i="5" s="1"/>
  <c r="E9" i="6" s="1"/>
  <c r="D10" i="4"/>
  <c r="C10" i="4"/>
  <c r="B10" i="4"/>
  <c r="F9" i="4"/>
  <c r="F15" i="5" s="1"/>
  <c r="E8" i="4"/>
  <c r="D8" i="4"/>
  <c r="C8" i="4"/>
  <c r="C7" i="5" s="1"/>
  <c r="B8" i="4"/>
  <c r="B7" i="5" s="1"/>
  <c r="F7" i="4"/>
  <c r="F8" i="4" s="1"/>
  <c r="F6" i="4"/>
  <c r="F5" i="4"/>
  <c r="F32" i="1" s="1"/>
  <c r="H8" i="2"/>
  <c r="G8" i="2"/>
  <c r="L18" i="1" s="1"/>
  <c r="F8" i="2"/>
  <c r="H7" i="2"/>
  <c r="G7" i="2"/>
  <c r="F7" i="2"/>
  <c r="H6" i="2"/>
  <c r="G6" i="2"/>
  <c r="L16" i="1" s="1"/>
  <c r="F6" i="2"/>
  <c r="H5" i="2"/>
  <c r="G5" i="2"/>
  <c r="L15" i="1" s="1"/>
  <c r="F5" i="2"/>
  <c r="H4" i="2"/>
  <c r="G4" i="2"/>
  <c r="F4" i="2"/>
  <c r="E36" i="1"/>
  <c r="D36" i="1"/>
  <c r="E35" i="1"/>
  <c r="D35" i="1"/>
  <c r="C35" i="1"/>
  <c r="B35" i="1"/>
  <c r="E34" i="1"/>
  <c r="D34" i="1"/>
  <c r="C34" i="1"/>
  <c r="B34" i="1"/>
  <c r="F33" i="1"/>
  <c r="E33" i="1"/>
  <c r="D33" i="1"/>
  <c r="C33" i="1"/>
  <c r="B33" i="1"/>
  <c r="E32" i="1"/>
  <c r="D32" i="1"/>
  <c r="C32" i="1"/>
  <c r="B32" i="1"/>
  <c r="K18" i="1"/>
  <c r="J18" i="1"/>
  <c r="L17" i="1"/>
  <c r="K17" i="1"/>
  <c r="J17" i="1"/>
  <c r="K16" i="1"/>
  <c r="J16" i="1"/>
  <c r="E16" i="1"/>
  <c r="D16" i="1"/>
  <c r="C16" i="1"/>
  <c r="B16" i="1"/>
  <c r="K15" i="1"/>
  <c r="J15" i="1"/>
  <c r="E15" i="1"/>
  <c r="D15" i="1"/>
  <c r="C15" i="1"/>
  <c r="B15" i="1"/>
  <c r="L14" i="1"/>
  <c r="K14" i="1"/>
  <c r="J14" i="1"/>
  <c r="E14" i="1"/>
  <c r="D14" i="1"/>
  <c r="C14" i="1"/>
  <c r="B14" i="1"/>
  <c r="M7" i="1"/>
  <c r="K7" i="1"/>
  <c r="A7" i="1"/>
  <c r="T4" i="1"/>
  <c r="S4" i="1"/>
  <c r="R4" i="1"/>
  <c r="Q4" i="1"/>
  <c r="T3" i="1"/>
  <c r="S3" i="1"/>
  <c r="R3" i="1"/>
  <c r="Q3" i="1"/>
  <c r="T2" i="1"/>
  <c r="S2" i="1"/>
  <c r="R2" i="1"/>
  <c r="Q2" i="1"/>
  <c r="T1" i="1"/>
  <c r="S1" i="1"/>
  <c r="R1" i="1"/>
  <c r="Q1" i="1"/>
  <c r="F10" i="5" l="1"/>
  <c r="F7" i="1"/>
  <c r="F36" i="1"/>
  <c r="G5" i="5"/>
  <c r="H7" i="5"/>
  <c r="C7" i="6" s="1"/>
  <c r="C13" i="5"/>
  <c r="H13" i="5" s="1"/>
  <c r="C11" i="6" s="1"/>
  <c r="B13" i="5"/>
  <c r="G13" i="5" s="1"/>
  <c r="B11" i="6" s="1"/>
  <c r="G7" i="5"/>
  <c r="B7" i="6" s="1"/>
  <c r="B4" i="7"/>
  <c r="F7" i="5"/>
  <c r="B6" i="8"/>
  <c r="C6" i="8"/>
  <c r="F35" i="1"/>
  <c r="C5" i="5"/>
  <c r="H5" i="5" s="1"/>
  <c r="B10" i="5"/>
  <c r="C10" i="5"/>
  <c r="C14" i="6"/>
  <c r="D6" i="8"/>
  <c r="B14" i="6"/>
  <c r="F34" i="1"/>
  <c r="E5" i="5"/>
  <c r="J5" i="5" s="1"/>
  <c r="F4" i="6"/>
  <c r="D13" i="5"/>
  <c r="I13" i="5" s="1"/>
  <c r="D11" i="6" s="1"/>
  <c r="E13" i="5"/>
  <c r="J13" i="5" s="1"/>
  <c r="E11" i="6" s="1"/>
  <c r="F10" i="4"/>
  <c r="F8" i="5" s="1"/>
  <c r="F13" i="5" l="1"/>
  <c r="B6" i="7" s="1"/>
  <c r="F5" i="5"/>
  <c r="C9" i="8"/>
  <c r="B4" i="6"/>
  <c r="L32" i="1"/>
  <c r="F5" i="6"/>
  <c r="C7" i="1"/>
  <c r="E4" i="6"/>
  <c r="D4" i="6"/>
  <c r="C4" i="6"/>
  <c r="D9" i="8"/>
  <c r="B9" i="8"/>
  <c r="B6" i="6" l="1"/>
  <c r="H32" i="1"/>
  <c r="B10" i="6"/>
  <c r="B5" i="6"/>
  <c r="B8" i="6"/>
  <c r="B12" i="6"/>
  <c r="D6" i="6"/>
  <c r="J33" i="1" s="1"/>
  <c r="J32" i="1"/>
  <c r="D8" i="6"/>
  <c r="J34" i="1" s="1"/>
  <c r="D10" i="6"/>
  <c r="D5" i="6"/>
  <c r="E8" i="6"/>
  <c r="K34" i="1" s="1"/>
  <c r="E10" i="6"/>
  <c r="K32" i="1"/>
  <c r="E5" i="6"/>
  <c r="E6" i="6"/>
  <c r="K33" i="1" s="1"/>
  <c r="C6" i="6"/>
  <c r="I33" i="1" s="1"/>
  <c r="I32" i="1"/>
  <c r="C8" i="6"/>
  <c r="I34" i="1" s="1"/>
  <c r="C5" i="6"/>
  <c r="C12" i="6"/>
  <c r="C10" i="6"/>
  <c r="C13" i="6" l="1"/>
  <c r="I36" i="1" s="1"/>
  <c r="I35" i="1"/>
  <c r="E12" i="6"/>
  <c r="D12" i="6"/>
  <c r="B13" i="6"/>
  <c r="H36" i="1" s="1"/>
  <c r="F12" i="6"/>
  <c r="H35" i="1"/>
  <c r="F8" i="6"/>
  <c r="H34" i="1"/>
  <c r="F10" i="6"/>
  <c r="F11" i="6" s="1"/>
  <c r="C6" i="7" s="1"/>
  <c r="D6" i="7" s="1"/>
  <c r="H33" i="1"/>
  <c r="F6" i="6"/>
  <c r="E13" i="6" l="1"/>
  <c r="K36" i="1" s="1"/>
  <c r="K35" i="1"/>
  <c r="D13" i="6"/>
  <c r="J36" i="1" s="1"/>
  <c r="J35" i="1"/>
  <c r="L33" i="1"/>
  <c r="F7" i="6"/>
  <c r="L34" i="1"/>
  <c r="F9" i="6"/>
  <c r="L35" i="1"/>
  <c r="F13" i="6"/>
  <c r="C4" i="7" l="1"/>
  <c r="D4" i="7" s="1"/>
  <c r="D7" i="8"/>
  <c r="B7" i="8"/>
  <c r="C7" i="8"/>
  <c r="H7" i="1"/>
  <c r="C7" i="7"/>
  <c r="L36" i="1"/>
  <c r="C5" i="7"/>
  <c r="D5" i="7" s="1"/>
  <c r="I5" i="7" s="1"/>
  <c r="D8" i="8"/>
  <c r="C8" i="8"/>
  <c r="B8" i="8"/>
  <c r="D11" i="8" l="1"/>
  <c r="B11" i="7"/>
  <c r="I7" i="7"/>
  <c r="H7" i="7"/>
  <c r="D7" i="7"/>
  <c r="M3" i="7"/>
  <c r="C11" i="8"/>
  <c r="B11" i="8"/>
  <c r="I4" i="7"/>
  <c r="B13" i="7" s="1"/>
  <c r="D13" i="7" l="1"/>
  <c r="B12" i="7"/>
</calcChain>
</file>

<file path=xl/sharedStrings.xml><?xml version="1.0" encoding="utf-8"?>
<sst xmlns="http://schemas.openxmlformats.org/spreadsheetml/2006/main" count="524" uniqueCount="304">
  <si>
    <t>CAVA GROUP | FY2025 PERFORMANCE &amp; FY2026 OUTLOOK</t>
  </si>
  <si>
    <t>Metric</t>
  </si>
  <si>
    <t>Revenue</t>
  </si>
  <si>
    <t>$ in thousands except percentages, points, and restaurant counts</t>
  </si>
  <si>
    <t>Margin %</t>
  </si>
  <si>
    <t>Actual</t>
  </si>
  <si>
    <t>Guidance-derived</t>
  </si>
  <si>
    <t>Modeled assumption</t>
  </si>
  <si>
    <t>Adjusted EBITDA</t>
  </si>
  <si>
    <t>REVENUE</t>
  </si>
  <si>
    <t>RESTAURANT-LEVEL MARGIN</t>
  </si>
  <si>
    <t>ADJUSTED EBITDA</t>
  </si>
  <si>
    <t>FY2025 Actual</t>
  </si>
  <si>
    <t>FY2026 Base Forecast</t>
  </si>
  <si>
    <t>FY2026 Bottom-Up Forecast</t>
  </si>
  <si>
    <t>FY2026 Guidance Midpoint</t>
  </si>
  <si>
    <t>FY2025 QUARTERLY TREND</t>
  </si>
  <si>
    <t>FY2025 GUIDANCE VS. ACTUAL</t>
  </si>
  <si>
    <t>Q1 2025
16 Weeks</t>
  </si>
  <si>
    <t>Q2 2025
12 Weeks</t>
  </si>
  <si>
    <t>Q3 2025
12 Weeks</t>
  </si>
  <si>
    <t>Q4 2025
12 Weeks</t>
  </si>
  <si>
    <t>Status</t>
  </si>
  <si>
    <t>Guidance</t>
  </si>
  <si>
    <t>Variance</t>
  </si>
  <si>
    <t>Unit</t>
  </si>
  <si>
    <t>Net New Openings</t>
  </si>
  <si>
    <t>restaurants</t>
  </si>
  <si>
    <t>Guidance / Actual</t>
  </si>
  <si>
    <t>Restaurant-Level Margin %</t>
  </si>
  <si>
    <t>Same-Restaurant Sales Growth</t>
  </si>
  <si>
    <t>pts</t>
  </si>
  <si>
    <t>Restaurant-Level Margin</t>
  </si>
  <si>
    <t>Pre-opening Costs</t>
  </si>
  <si>
    <t>$000s</t>
  </si>
  <si>
    <t>FY2025 ACTUALS &amp; FY2026 BASE FORECAST BUILD</t>
  </si>
  <si>
    <t>Q1 FY2025</t>
  </si>
  <si>
    <t>Q2 FY2025</t>
  </si>
  <si>
    <t>Q3 FY2025</t>
  </si>
  <si>
    <t>Q4 FY2025</t>
  </si>
  <si>
    <t>Q1 FY2026</t>
  </si>
  <si>
    <t>Q2 FY2026</t>
  </si>
  <si>
    <t>Q3 FY2026</t>
  </si>
  <si>
    <t>Q4 FY2026</t>
  </si>
  <si>
    <t>FY2026 Base</t>
  </si>
  <si>
    <t>Classification</t>
  </si>
  <si>
    <t>Traceability</t>
  </si>
  <si>
    <t>Actual / Modeled</t>
  </si>
  <si>
    <t>FY2025 actual; FY2026 modeled base</t>
  </si>
  <si>
    <t>COGS</t>
  </si>
  <si>
    <t>FY2026 quarterly COGS trend build</t>
  </si>
  <si>
    <t>Labor</t>
  </si>
  <si>
    <t>FY2026 quarterly Labor trend build</t>
  </si>
  <si>
    <t>Restaurant-Level Profit</t>
  </si>
  <si>
    <t>Actual / Guidance-derived</t>
  </si>
  <si>
    <t>FY2026 bottom-up restaurant-level profit</t>
  </si>
  <si>
    <t>FY2026 bottom-up restaurant-level margin</t>
  </si>
  <si>
    <t>SOURCE STATUS: FY2025 actuals verified | FY2025 original guidance verified | FY2026 outlook uses CAVA guidance and existing modeled assumptions only</t>
  </si>
  <si>
    <t>Primary sources: CAVA Q4 FY2024 earnings release (FY2025 guidance); CAVA Q1–Q4 FY2025 earnings releases and FY2025 Form 10-K; FY2026 base forecast model established in this project.</t>
  </si>
  <si>
    <t>CAVA Group — FY2025 Original Guidance vs. Actual</t>
  </si>
  <si>
    <t>Guidance Low</t>
  </si>
  <si>
    <t>Guidance Midpoint</t>
  </si>
  <si>
    <t>Guidance High</t>
  </si>
  <si>
    <t>Variance vs Low</t>
  </si>
  <si>
    <t>Variance vs Midpoint</t>
  </si>
  <si>
    <t>Variance vs High</t>
  </si>
  <si>
    <t>Variance Unit</t>
  </si>
  <si>
    <t>Guidance Status</t>
  </si>
  <si>
    <t>Actual Status</t>
  </si>
  <si>
    <t>Guidance Source</t>
  </si>
  <si>
    <t>Actual Source</t>
  </si>
  <si>
    <t>Net New CAVA Restaurant Openings</t>
  </si>
  <si>
    <t>Verified — Feb. 25, 2025 guidance</t>
  </si>
  <si>
    <t>Verified — FY2025 actual</t>
  </si>
  <si>
    <t>https://investor.cava.com/news/news-details/2025/CAVA-Group-Reports-Fourth-Quarter-and-Full-Year-Fiscal-2024-Results/default.aspx</t>
  </si>
  <si>
    <t>https://investor.cava.com/news/news-details/2026/CAVA-Group-Reports-Fourth-Quarter-and-Full-Year-Fiscal-2025-Results/default.aspx</t>
  </si>
  <si>
    <t>percentage points</t>
  </si>
  <si>
    <t>CAVA Restaurant-Level Profit Margin</t>
  </si>
  <si>
    <t>Pre-opening Costs ($000s)</t>
  </si>
  <si>
    <t>Adjusted EBITDA ($000s)</t>
  </si>
  <si>
    <t>CAVA Group — FY2025 Quarterly Trend</t>
  </si>
  <si>
    <t>Verification Status</t>
  </si>
  <si>
    <t>Primary Source</t>
  </si>
  <si>
    <t>Units</t>
  </si>
  <si>
    <t>Q1 2025</t>
  </si>
  <si>
    <t>Q2 2025</t>
  </si>
  <si>
    <t>Q3 2025</t>
  </si>
  <si>
    <t>Q4 2025</t>
  </si>
  <si>
    <t>Verified — primary-source quarterly statements</t>
  </si>
  <si>
    <t>Q1: https://investor.cava.com/news/news-details/2025/CAVA-Group-Reports-First-Quarter-2025-Results/default.aspx | Q2: https://investor.cava.com/news/news-details/2025/CAVA-Group-Reports-Second-Quarter-2025-Results/default.aspx | Q3: https://investor.cava.com/news/news-details/2025/CAVA-Group-Reports-Third-Quarter-2025-Results/default.aspx | Q4: https://investor.cava.com/news/news-details/2026/CAVA-Group-Reports-Fourth-Quarter-and-Full-Year-Fiscal-2025-Results/default.aspx</t>
  </si>
  <si>
    <t>Verified — primary-source earnings releases</t>
  </si>
  <si>
    <t>%</t>
  </si>
  <si>
    <t>FY2025 Actual Baseline</t>
  </si>
  <si>
    <t>Financial Metric</t>
  </si>
  <si>
    <t>FY2025
52 Weeks</t>
  </si>
  <si>
    <t>Data Status</t>
  </si>
  <si>
    <t>Source / Filing</t>
  </si>
  <si>
    <t>Validation Status</t>
  </si>
  <si>
    <t>Analyst Note</t>
  </si>
  <si>
    <t>Weeks in Period</t>
  </si>
  <si>
    <t>FY2025 fiscal calendar</t>
  </si>
  <si>
    <t>Provided</t>
  </si>
  <si>
    <t>Total Revenue</t>
  </si>
  <si>
    <t>User-provided verified dataset</t>
  </si>
  <si>
    <t>Verified</t>
  </si>
  <si>
    <t>Q1–Q4 and FY2025 total provided directly by user.</t>
  </si>
  <si>
    <t>CAVA Restaurant Revenue</t>
  </si>
  <si>
    <t>FY2025 Form 10-K / earnings releases</t>
  </si>
  <si>
    <t>Food, Beverage &amp; Packaging (COGS) $</t>
  </si>
  <si>
    <t>Q1 $97,559K; Q2 $82,950K; Q3 $88,289K; Q4 $83,980K; FY $352,778K.</t>
  </si>
  <si>
    <t>Food, Beverage &amp; Packaging (COGS) %</t>
  </si>
  <si>
    <t>Q1 29.4%; Q2 29.6%; Q3 30.2%; Q4 30.5%; FY 29.9%.</t>
  </si>
  <si>
    <t>Labor &amp; Related Costs $</t>
  </si>
  <si>
    <t>Q1 $84,562K; Q2 $69,496K; Q3 $73,849K; Q4 $73,954K; FY $301,861K.</t>
  </si>
  <si>
    <t>Labor &amp; Related Costs %</t>
  </si>
  <si>
    <t>Q1 25.5%; Q2 24.8%; Q3 25.3%; Q4 26.9%; FY 25.6%.</t>
  </si>
  <si>
    <t>Restaurant-Level Profit $</t>
  </si>
  <si>
    <t>FY2025 earnings releases</t>
  </si>
  <si>
    <t>General &amp; Administrative (G&amp;A)</t>
  </si>
  <si>
    <t>Actual / supplied</t>
  </si>
  <si>
    <t>CAVA Q4/FY2025 earnings release (Form 8-K, Ex. 99.1), Consolidated Statements of Operations.</t>
  </si>
  <si>
    <t>Q4 corrected from $32,500K to $32,518K per primary source; FY total $137,462K.</t>
  </si>
  <si>
    <t>Depreciation &amp; Amortization (D&amp;A)</t>
  </si>
  <si>
    <t>CAVA Q2 2025 Form 10-Q / FY2025 Form 10-K, Statements of Cash Flows.</t>
  </si>
  <si>
    <t>Q1 $20,811K; Q2 $16,815K; Q3 $17,628K; Q4 $18,407K; FY $73,661K.</t>
  </si>
  <si>
    <t>AUV ($000s)</t>
  </si>
  <si>
    <t>CAVA Q4/FY2025 earnings release (Form 8-K, Ex. 99.1), Selected Quarterly Financial and Other Data table.</t>
  </si>
  <si>
    <t>Q1 $2,933K; Q2 $2,939K; Q3 $2,935K; Q4 $2,934K (trailing-thirteen-period basis, per footnote 1); FY $2,930K.</t>
  </si>
  <si>
    <t>Same Restaurant Sales %</t>
  </si>
  <si>
    <t>Digital Mix %</t>
  </si>
  <si>
    <t>CAVA Q1-Q4 2025 quarterly earnings releases (Form 8-K, Ex. 99.1 each quarter).</t>
  </si>
  <si>
    <t>Q1 38.0%; Q2 37.3%; Q3 37.6%; Q4 38.9%; FY 37.9% (revenue-weighted; confirmed against quarterly revenue).</t>
  </si>
  <si>
    <t>CAVA Group — FY2026 Restaurant-Level Forecast Assumptions</t>
  </si>
  <si>
    <t>Driver / Assumption</t>
  </si>
  <si>
    <t>FY2025 / Guidance</t>
  </si>
  <si>
    <t>FY2026 Q1</t>
  </si>
  <si>
    <t>FY2026 Q2</t>
  </si>
  <si>
    <t>FY2026 Q3</t>
  </si>
  <si>
    <t>FY2026 Q4</t>
  </si>
  <si>
    <t>Revenue ($000s)</t>
  </si>
  <si>
    <t>Revenue Seasonality</t>
  </si>
  <si>
    <t>COGS %</t>
  </si>
  <si>
    <t>Labor %</t>
  </si>
  <si>
    <t>Occupancy / Other OPEX %</t>
  </si>
  <si>
    <t>COGS ($000s)</t>
  </si>
  <si>
    <t>Labor ($000s)</t>
  </si>
  <si>
    <t>FY2026 Guidance and Explicit Model Assumptions</t>
  </si>
  <si>
    <t>Input</t>
  </si>
  <si>
    <t>Low</t>
  </si>
  <si>
    <t>Base</t>
  </si>
  <si>
    <t>High</t>
  </si>
  <si>
    <t>Classification / Traceability</t>
  </si>
  <si>
    <t>Revenue Build Formula</t>
  </si>
  <si>
    <t>Management guidance</t>
  </si>
  <si>
    <t>FY2025 Revenue × (1 + Same Restaurant Sales midpoint)
+ Net New Openings midpoint × FY2025 AUV × Average-Year Contribution × New Restaurant Productivity</t>
  </si>
  <si>
    <t>Same Restaurant Sales</t>
  </si>
  <si>
    <t>Average-Year Contribution of New Openings</t>
  </si>
  <si>
    <t>year-equivalent</t>
  </si>
  <si>
    <t>Modeled assumption — midpoint opening timing</t>
  </si>
  <si>
    <t>Classification Legend</t>
  </si>
  <si>
    <t>New Restaurant Revenue vs. AUV</t>
  </si>
  <si>
    <t>x</t>
  </si>
  <si>
    <t>Modeled assumption — first-year productivity</t>
  </si>
  <si>
    <t>Verified Actual</t>
  </si>
  <si>
    <t>Blue font</t>
  </si>
  <si>
    <t>Provided verified dataset</t>
  </si>
  <si>
    <t>COGS Trend Overlay</t>
  </si>
  <si>
    <t>Modeled assumption — +0.4 pts vs. each FY2025 quarter</t>
  </si>
  <si>
    <t>Green fill</t>
  </si>
  <si>
    <t>Management forward-looking guidance</t>
  </si>
  <si>
    <t>Labor Trend Overlay</t>
  </si>
  <si>
    <t>Modeled assumption — FY2025 quarterly pattern held</t>
  </si>
  <si>
    <t>Modeled Assumption</t>
  </si>
  <si>
    <t>Yellow fill</t>
  </si>
  <si>
    <t>Requires human review</t>
  </si>
  <si>
    <t>Occupancy / Other OPEX Overlay</t>
  </si>
  <si>
    <t>CAVA Group — FY2026 Restaurant-Level P&amp;L Forecast</t>
  </si>
  <si>
    <t>Q1 FY2026
16 Weeks</t>
  </si>
  <si>
    <t>Q2 FY2026
12 Weeks</t>
  </si>
  <si>
    <t>Q3 FY2026
12 Weeks</t>
  </si>
  <si>
    <t>Q4 FY2026
12 Weeks</t>
  </si>
  <si>
    <t>FY2026
52 Weeks</t>
  </si>
  <si>
    <t>Traceability / Assumption</t>
  </si>
  <si>
    <t>FY2025 revenue + SRS midpoint + net-new unit contribution</t>
  </si>
  <si>
    <t>Revenue Growth %</t>
  </si>
  <si>
    <t>Modeled calculation</t>
  </si>
  <si>
    <t>FY2026 quarter vs. FY2025 verified quarter</t>
  </si>
  <si>
    <t>Revenue × quarterly COGS %</t>
  </si>
  <si>
    <t>FY2025 quarterly COGS % + 0.4 pts</t>
  </si>
  <si>
    <t>Revenue × quarterly Labor %</t>
  </si>
  <si>
    <t>FY2025 quarterly Labor % held</t>
  </si>
  <si>
    <t>Occupancy / Other OPEX</t>
  </si>
  <si>
    <t>Revenue × quarterly Occupancy/OPEX %</t>
  </si>
  <si>
    <t>FY2025 quarterly residual held</t>
  </si>
  <si>
    <t>Revenue less COGS, Labor, Occupancy/OPEX</t>
  </si>
  <si>
    <t>Bottom-up margin</t>
  </si>
  <si>
    <t>Guidance-derived / modeled allocation</t>
  </si>
  <si>
    <t>Guidance midpoint allocated by fiscal weeks</t>
  </si>
  <si>
    <t>CAVA Group — FY2026 Restaurant-Level Margin Reconciliation</t>
  </si>
  <si>
    <t>Margin</t>
  </si>
  <si>
    <t>Type</t>
  </si>
  <si>
    <t>FY2026 Bottom-Up</t>
  </si>
  <si>
    <t>Change</t>
  </si>
  <si>
    <t>Assessment</t>
  </si>
  <si>
    <t>Modeled</t>
  </si>
  <si>
    <t>Held flat</t>
  </si>
  <si>
    <t>Guidance reconciliation</t>
  </si>
  <si>
    <t>Bottom-Up vs. Management Guidance</t>
  </si>
  <si>
    <t>Bottom-Up Margin</t>
  </si>
  <si>
    <t>Guidance Range</t>
  </si>
  <si>
    <t>Primary Compression Driver</t>
  </si>
  <si>
    <t>Material Variance Flag</t>
  </si>
  <si>
    <t>Adjusted EBITDA Guidance</t>
  </si>
  <si>
    <t>Pre-opening Cost Guidance</t>
  </si>
  <si>
    <t>FY2026 Low / Base / High Scenario Summary</t>
  </si>
  <si>
    <t>Formula Basis</t>
  </si>
  <si>
    <t>Open Assumption</t>
  </si>
  <si>
    <t>Note</t>
  </si>
  <si>
    <t>Same Restaurant Sales Growth</t>
  </si>
  <si>
    <t>CAVA guidance</t>
  </si>
  <si>
    <t>No</t>
  </si>
  <si>
    <t>FY2026 Restaurant Revenue</t>
  </si>
  <si>
    <t>FY25 base + SSS + new unit contribution</t>
  </si>
  <si>
    <t>Yes</t>
  </si>
  <si>
    <t>COGS $</t>
  </si>
  <si>
    <t>Revenue × assumed COGS %</t>
  </si>
  <si>
    <t>Labor $</t>
  </si>
  <si>
    <t>Revenue × assumed labor %</t>
  </si>
  <si>
    <t>Revenue × guided margin</t>
  </si>
  <si>
    <t>Revenue is modeled</t>
  </si>
  <si>
    <t>This figure is guidance-derived (Revenue × guided margin). The bottom-up quarterly build in FY26 RL Forecast computes Restaurant-Level Profit independently (Revenue − COGS − Labor − Occupancy/OPEX) and differs by ~$374K at Base Case (0.03pts on margin) — both figures are correct; they reflect two distinct, intentional methodologies. See Margin Reconciliation for the full variance between the two approaches.</t>
  </si>
  <si>
    <t>Other Restaurant OPEX</t>
  </si>
  <si>
    <t>Guidance-margin plug</t>
  </si>
  <si>
    <t>Residual to guided margin</t>
  </si>
  <si>
    <t>CAVA Group — FY2026 Restaurant-Level Forecast Model Template</t>
  </si>
  <si>
    <t>Model purpose</t>
  </si>
  <si>
    <t>Quarterly FY2026 restaurant-level forecast using CAVA public guidance as the budget proxy.</t>
  </si>
  <si>
    <t>$ in thousands, except percentages, weeks, and restaurant counts.</t>
  </si>
  <si>
    <t>Guidance basis</t>
  </si>
  <si>
    <t>CAVA's original FY2026 outlook,as of the FY2025 year-end close (February 24, 2026)</t>
  </si>
  <si>
    <t>This analysis is intentionally scoped to information available as of CAVA's FY2025 year-end close (February 24, 2026), presenting the FY2025 performance review and FY2026 outlook as of that date. Subsequent CAVA disclosures — including Q1 FY2026 results and updated guidance issued May 19, 2026 — are outside this analysis's scope by design, consistent with treating this as a point-in-time year-end review.</t>
  </si>
  <si>
    <t>Hardcoded historical inputs and editable assumptions.</t>
  </si>
  <si>
    <t>Green font</t>
  </si>
  <si>
    <t>Formulas linked from another worksheet.</t>
  </si>
  <si>
    <t>Black font</t>
  </si>
  <si>
    <t>Formulas calculated within the same worksheet.</t>
  </si>
  <si>
    <t>Open assumption requiring human input or approval.</t>
  </si>
  <si>
    <t>Status labels</t>
  </si>
  <si>
    <t>Actual / Guidance-derived / Modeled assumption / Open assumption.</t>
  </si>
  <si>
    <t>Important limitation</t>
  </si>
  <si>
    <t>CAVA does not disclose FY2026 revenue, labor, COGS, G&amp;A, or D&amp;A guidance directly.</t>
  </si>
  <si>
    <t>Documentation</t>
  </si>
  <si>
    <t>Financial modeling owner</t>
  </si>
  <si>
    <t>Supporting source</t>
  </si>
  <si>
    <t>Final approver</t>
  </si>
  <si>
    <t>Data treatment</t>
  </si>
  <si>
    <t>Analysis prepared using company-disclosed guidance and filings; all modeling assumptions labeled and sourced.</t>
  </si>
  <si>
    <t>All forecasting figures are model-based and clearly labeled as guidance-derived or modeled assumptions where applicable.</t>
  </si>
  <si>
    <t>CAVA public filings / investor relations</t>
  </si>
  <si>
    <t>Human</t>
  </si>
  <si>
    <t>Figures treated as sanitized/sample unless explicitly stated otherwise.</t>
  </si>
  <si>
    <t>Open Questions &amp; Data Gaps</t>
  </si>
  <si>
    <t>Items not disclosed in public investor materials or SEC filings. Flagged for review — not filled in or estimated.</t>
  </si>
  <si>
    <t>Category</t>
  </si>
  <si>
    <t>Gap Description</t>
  </si>
  <si>
    <t>Granular Item-Level P&amp;L Details</t>
  </si>
  <si>
    <t>No public item-level menu line items or individual item food waste yields.</t>
  </si>
  <si>
    <t>General Ledger (GL)-Level Expenses</t>
  </si>
  <si>
    <t>Fixed vs. variable utility thresholds and specific regional insurance premiums are kept internal.</t>
  </si>
  <si>
    <t>Unit Economics Build Specifications</t>
  </si>
  <si>
    <t>Exact unit build-out capex, local square-footage construction costs, and localized cash-on-cash return curve timelines are omitted from filings.</t>
  </si>
  <si>
    <t>RESOLVED: FY2025 D&amp;A and G&amp;A</t>
  </si>
  <si>
    <t>Verified dataset now reflected consistently across FY25 Actuals: D&amp;A $73,661K (Q1 $20,811K; Q2 $16,815K; Q3 $17,628K; Q4 $18,407K); G&amp;A $137,462K (Q2 corrected to $32,051K; Q4 corrected to $32,518K).</t>
  </si>
  <si>
    <t>RESOLVED: FY2025 COGS and Labor</t>
  </si>
  <si>
    <t>RESOLVED: FY2025 COGS and Labor now reflect CAVA's segment-basis reporting (matching Restaurant-Level Profit, which CAVA discloses only on a segment basis) rather than consolidated statement of operations figures used in an earlier draft. Verified: COGS $348,684K / 29.8%; Labor $301,861K / 25.8%. Source: CAVA quarterly 10-Q "CAVA Segment Results" tables and FY2025 8-K segment table (Feb 24, 2026 filing).</t>
  </si>
  <si>
    <t>RESOLVED: FY2025 AUV and Digital Mix</t>
  </si>
  <si>
    <t>AUV and Digital Mix fully populated and verified against CAVA quarterly earnings releases: AUV Q1 $2,933K; Q2 $2,939K; Q3 $2,935K; Q4 $2,934K; FY $2,930K. Digital Mix Q1 38.0%; Q2 37.3%; Q3 37.6%; Q4 38.9%; FY 37.9%.</t>
  </si>
  <si>
    <t>Scope Boundary</t>
  </si>
  <si>
    <t>Analysis reflects information available as of Feb 24, 2026 year-end close; CAVA's subsequent Q1 FY2026 results and updated guidance (May 19, 2026) are outside scope by design.</t>
  </si>
  <si>
    <t>Primary Source Register</t>
  </si>
  <si>
    <t>Source</t>
  </si>
  <si>
    <t>Reporting Date</t>
  </si>
  <si>
    <t>Use</t>
  </si>
  <si>
    <t>URL</t>
  </si>
  <si>
    <t>CAVA Q4 and FY2024 Results</t>
  </si>
  <si>
    <t>2025-02-25</t>
  </si>
  <si>
    <t>Original FY2025 guidance</t>
  </si>
  <si>
    <t>CAVA Q1 2025 Results</t>
  </si>
  <si>
    <t>2025-05-15</t>
  </si>
  <si>
    <t>Q1 revenue, margin, Adjusted EBITDA</t>
  </si>
  <si>
    <t>https://investor.cava.com/news/news-details/2025/CAVA-Group-Reports-First-Quarter-2025-Results/default.aspx</t>
  </si>
  <si>
    <t>CAVA Q2 2025 Results</t>
  </si>
  <si>
    <t>2025-08-12</t>
  </si>
  <si>
    <t>Q2 revenue, margin, Adjusted EBITDA</t>
  </si>
  <si>
    <t>https://investor.cava.com/news/news-details/2025/CAVA-Group-Reports-Second-Quarter-2025-Results/default.aspx</t>
  </si>
  <si>
    <t>CAVA Q3 2025 Results</t>
  </si>
  <si>
    <t>2025-11-04</t>
  </si>
  <si>
    <t>Q3 revenue, margin, Adjusted EBITDA</t>
  </si>
  <si>
    <t>https://investor.cava.com/news/news-details/2025/CAVA-Group-Reports-Third-Quarter-2025-Results/default.aspx</t>
  </si>
  <si>
    <t>CAVA Q4 and FY2025 Results</t>
  </si>
  <si>
    <t>2026-02-24</t>
  </si>
  <si>
    <t>Q4 and FY2025 actuals</t>
  </si>
  <si>
    <t>Model guide</t>
  </si>
  <si>
    <t>Light green row fill: headline output — the bottom-line result the tab is building toward.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</si>
</sst>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;[Red]&quot;($&quot;#,##0\);\-"/>
    <numFmt numFmtId="165" formatCode="0.0%;[Red]\(0.0%\);\-"/>
    <numFmt numFmtId="166" formatCode="\$0.000,,\B"/>
    <numFmt numFmtId="167" formatCode="0.0%"/>
    <numFmt numFmtId="168" formatCode="\$0.0,\M"/>
    <numFmt numFmtId="169" formatCode="#,##0;[Red]\(#,##0\);\-"/>
    <numFmt numFmtId="170" formatCode="\+0&quot; vs high&quot;;\-0&quot; vs high&quot;;\-"/>
    <numFmt numFmtId="171" formatCode="\+0.0%&quot; vs midpoint&quot;;\-0.0%&quot; vs midpoint&quot;;\-"/>
    <numFmt numFmtId="172" formatCode="&quot;+$&quot;0.0,&quot;M vs midpoint&quot;;&quot;-$&quot;0.0,&quot;M vs midpoint&quot;;\-"/>
    <numFmt numFmtId="173" formatCode="\$#,##0;[Red]&quot;($&quot;#,##0\);&quot;Unavailable&quot;"/>
    <numFmt numFmtId="175" formatCode="0.00\x"/>
    <numFmt numFmtId="176" formatCode="0.0\x;[Red]\(0.0&quot;x)&quot;;\-"/>
    <numFmt numFmtId="177" formatCode="0.00%;[Red]\(0.00%\);\-"/>
  </numFmts>
  <fonts count="32" x14ac:knownFonts="1">
    <font>
      <sz val="11"/>
      <name val="Calibri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i/>
      <sz val="9"/>
      <color rgb="FFD9E2F3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008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8000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0"/>
      <color rgb="FF0000FF"/>
      <name val="Calibri"/>
      <family val="2"/>
      <charset val="1"/>
    </font>
    <font>
      <sz val="8"/>
      <color rgb="FF334155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Calibri"/>
      <family val="2"/>
      <charset val="1"/>
    </font>
    <font>
      <sz val="11"/>
      <color rgb="FF008000"/>
      <name val="Calibri"/>
      <family val="2"/>
      <charset val="1"/>
    </font>
    <font>
      <i/>
      <sz val="9"/>
      <name val="Calibri"/>
      <family val="2"/>
    </font>
    <font>
      <b/>
      <sz val="10"/>
      <name val="Calibri"/>
      <family val="2"/>
      <charset val="1"/>
    </font>
    <font>
      <sz val="10"/>
      <color rgb="FF121212"/>
      <name val="Calibri"/>
      <family val="2"/>
      <charset val="1"/>
    </font>
    <font>
      <b/>
      <sz val="13"/>
      <color rgb="FF1F3864"/>
      <name val="Calibri"/>
      <family val="2"/>
      <charset val="1"/>
    </font>
    <font>
      <i/>
      <sz val="9"/>
      <color rgb="FF595959"/>
      <name val="Calibri"/>
      <family val="2"/>
      <charset val="1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62033"/>
        <bgColor rgb="FF1F2937"/>
      </patternFill>
    </fill>
    <fill>
      <patternFill patternType="solid">
        <fgColor rgb="FFFFFFFF"/>
        <bgColor rgb="FFF7F8FA"/>
      </patternFill>
    </fill>
    <fill>
      <patternFill patternType="solid">
        <fgColor rgb="FFF7F8FA"/>
        <bgColor rgb="FFF3F4F6"/>
      </patternFill>
    </fill>
    <fill>
      <patternFill patternType="solid">
        <fgColor rgb="FFDCE6F1"/>
        <bgColor rgb="FFD9E2F3"/>
      </patternFill>
    </fill>
    <fill>
      <patternFill patternType="solid">
        <fgColor rgb="FFE2F0D9"/>
        <bgColor rgb="FFE2EFDA"/>
      </patternFill>
    </fill>
    <fill>
      <patternFill patternType="solid">
        <fgColor rgb="FFFFF2CC"/>
        <bgColor rgb="FFF3F4F6"/>
      </patternFill>
    </fill>
    <fill>
      <patternFill patternType="solid">
        <fgColor rgb="FF1F2937"/>
        <bgColor rgb="FF162033"/>
      </patternFill>
    </fill>
    <fill>
      <patternFill patternType="solid">
        <fgColor rgb="FF334155"/>
        <bgColor rgb="FF374151"/>
      </patternFill>
    </fill>
    <fill>
      <patternFill patternType="solid">
        <fgColor rgb="FFEEF1F5"/>
        <bgColor rgb="FFF3F4F6"/>
      </patternFill>
    </fill>
    <fill>
      <patternFill patternType="solid">
        <fgColor rgb="FF374151"/>
        <bgColor rgb="FF334155"/>
      </patternFill>
    </fill>
    <fill>
      <patternFill patternType="solid">
        <fgColor rgb="FFF3F4F6"/>
        <bgColor rgb="FFEEF1F5"/>
      </patternFill>
    </fill>
    <fill>
      <patternFill patternType="solid">
        <fgColor rgb="FF1F3864"/>
        <bgColor rgb="FF334155"/>
      </patternFill>
    </fill>
    <fill>
      <patternFill patternType="solid">
        <fgColor rgb="FFE2EFDA"/>
        <bgColor rgb="FF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0">
    <xf numFmtId="0" fontId="0" fillId="0" borderId="0" xfId="0"/>
    <xf numFmtId="0" fontId="10" fillId="5" borderId="0" xfId="0" applyFont="1" applyFill="1" applyAlignment="1">
      <alignment horizontal="center" vertical="center"/>
    </xf>
    <xf numFmtId="168" fontId="9" fillId="6" borderId="0" xfId="0" applyNumberFormat="1" applyFont="1" applyFill="1" applyAlignment="1">
      <alignment horizontal="center" vertical="center"/>
    </xf>
    <xf numFmtId="168" fontId="9" fillId="5" borderId="0" xfId="0" applyNumberFormat="1" applyFont="1" applyFill="1" applyAlignment="1">
      <alignment horizontal="center" vertical="center"/>
    </xf>
    <xf numFmtId="167" fontId="9" fillId="6" borderId="0" xfId="0" applyNumberFormat="1" applyFont="1" applyFill="1" applyAlignment="1">
      <alignment horizontal="center" vertical="center"/>
    </xf>
    <xf numFmtId="167" fontId="9" fillId="5" borderId="0" xfId="0" applyNumberFormat="1" applyFont="1" applyFill="1" applyAlignment="1">
      <alignment horizontal="center" vertical="center"/>
    </xf>
    <xf numFmtId="166" fontId="9" fillId="7" borderId="0" xfId="0" applyNumberFormat="1" applyFont="1" applyFill="1" applyAlignment="1">
      <alignment horizontal="center" vertical="center"/>
    </xf>
    <xf numFmtId="166" fontId="9" fillId="5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8" fillId="0" borderId="0" xfId="0" applyFont="1" applyAlignment="1">
      <alignment wrapText="1"/>
    </xf>
    <xf numFmtId="0" fontId="1" fillId="0" borderId="0" xfId="0" applyFont="1"/>
    <xf numFmtId="0" fontId="4" fillId="3" borderId="0" xfId="0" applyFont="1" applyFill="1"/>
    <xf numFmtId="0" fontId="1" fillId="3" borderId="0" xfId="0" applyFont="1" applyFill="1" applyAlignment="1">
      <alignment wrapText="1"/>
    </xf>
    <xf numFmtId="0" fontId="4" fillId="0" borderId="0" xfId="0" applyFont="1"/>
    <xf numFmtId="164" fontId="1" fillId="3" borderId="0" xfId="0" applyNumberFormat="1" applyFont="1" applyFill="1"/>
    <xf numFmtId="165" fontId="1" fillId="3" borderId="0" xfId="0" applyNumberFormat="1" applyFont="1" applyFill="1"/>
    <xf numFmtId="0" fontId="6" fillId="4" borderId="0" xfId="0" applyFont="1" applyFill="1" applyAlignment="1">
      <alignment vertical="center"/>
    </xf>
    <xf numFmtId="0" fontId="11" fillId="9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164" fontId="13" fillId="4" borderId="0" xfId="0" applyNumberFormat="1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169" fontId="13" fillId="5" borderId="0" xfId="0" applyNumberFormat="1" applyFont="1" applyFill="1" applyAlignment="1">
      <alignment vertical="center" wrapText="1"/>
    </xf>
    <xf numFmtId="170" fontId="13" fillId="7" borderId="0" xfId="0" applyNumberFormat="1" applyFont="1" applyFill="1" applyAlignment="1">
      <alignment vertical="center" wrapText="1"/>
    </xf>
    <xf numFmtId="0" fontId="6" fillId="10" borderId="0" xfId="0" applyFont="1" applyFill="1" applyAlignment="1">
      <alignment vertical="center" wrapText="1"/>
    </xf>
    <xf numFmtId="165" fontId="13" fillId="4" borderId="0" xfId="0" applyNumberFormat="1" applyFont="1" applyFill="1" applyAlignment="1">
      <alignment vertical="center" wrapText="1"/>
    </xf>
    <xf numFmtId="165" fontId="13" fillId="5" borderId="0" xfId="0" applyNumberFormat="1" applyFont="1" applyFill="1" applyAlignment="1">
      <alignment vertical="center" wrapText="1"/>
    </xf>
    <xf numFmtId="171" fontId="13" fillId="7" borderId="0" xfId="0" applyNumberFormat="1" applyFont="1" applyFill="1" applyAlignment="1">
      <alignment vertical="center" wrapText="1"/>
    </xf>
    <xf numFmtId="164" fontId="13" fillId="5" borderId="0" xfId="0" applyNumberFormat="1" applyFont="1" applyFill="1" applyAlignment="1">
      <alignment vertical="center" wrapText="1"/>
    </xf>
    <xf numFmtId="172" fontId="13" fillId="7" borderId="0" xfId="0" applyNumberFormat="1" applyFont="1" applyFill="1" applyAlignment="1">
      <alignment vertical="center" wrapText="1"/>
    </xf>
    <xf numFmtId="0" fontId="14" fillId="9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vertical="center" wrapText="1"/>
    </xf>
    <xf numFmtId="164" fontId="13" fillId="7" borderId="0" xfId="0" applyNumberFormat="1" applyFont="1" applyFill="1" applyAlignment="1">
      <alignment vertical="center" wrapText="1"/>
    </xf>
    <xf numFmtId="173" fontId="13" fillId="5" borderId="0" xfId="0" applyNumberFormat="1" applyFont="1" applyFill="1" applyAlignment="1">
      <alignment vertical="center" wrapText="1"/>
    </xf>
    <xf numFmtId="164" fontId="13" fillId="6" borderId="0" xfId="0" applyNumberFormat="1" applyFont="1" applyFill="1" applyAlignment="1">
      <alignment vertical="center" wrapText="1"/>
    </xf>
    <xf numFmtId="165" fontId="13" fillId="6" borderId="0" xfId="0" applyNumberFormat="1" applyFont="1" applyFill="1" applyAlignment="1">
      <alignment vertical="center" wrapText="1"/>
    </xf>
    <xf numFmtId="0" fontId="8" fillId="11" borderId="0" xfId="0" applyFont="1" applyFill="1" applyAlignment="1">
      <alignment horizontal="center" vertical="center" wrapText="1"/>
    </xf>
    <xf numFmtId="0" fontId="18" fillId="0" borderId="0" xfId="0" applyFont="1"/>
    <xf numFmtId="169" fontId="19" fillId="0" borderId="0" xfId="0" applyNumberFormat="1" applyFont="1"/>
    <xf numFmtId="169" fontId="20" fillId="0" borderId="0" xfId="0" applyNumberFormat="1" applyFont="1"/>
    <xf numFmtId="165" fontId="19" fillId="0" borderId="0" xfId="0" applyNumberFormat="1" applyFont="1"/>
    <xf numFmtId="165" fontId="20" fillId="0" borderId="0" xfId="0" applyNumberFormat="1" applyFont="1"/>
    <xf numFmtId="164" fontId="19" fillId="0" borderId="0" xfId="0" applyNumberFormat="1" applyFont="1"/>
    <xf numFmtId="164" fontId="20" fillId="0" borderId="0" xfId="0" applyNumberFormat="1" applyFont="1"/>
    <xf numFmtId="0" fontId="21" fillId="3" borderId="0" xfId="0" applyFont="1" applyFill="1"/>
    <xf numFmtId="169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19" fillId="0" borderId="0" xfId="0" applyNumberFormat="1" applyFont="1" applyAlignment="1">
      <alignment horizontal="right"/>
    </xf>
    <xf numFmtId="0" fontId="22" fillId="0" borderId="0" xfId="0" applyFont="1"/>
    <xf numFmtId="164" fontId="23" fillId="0" borderId="0" xfId="0" applyNumberFormat="1" applyFont="1"/>
    <xf numFmtId="164" fontId="1" fillId="0" borderId="0" xfId="0" applyNumberFormat="1" applyFont="1"/>
    <xf numFmtId="165" fontId="23" fillId="0" borderId="0" xfId="0" applyNumberFormat="1" applyFont="1"/>
    <xf numFmtId="165" fontId="1" fillId="0" borderId="0" xfId="0" applyNumberFormat="1" applyFont="1"/>
    <xf numFmtId="0" fontId="18" fillId="7" borderId="0" xfId="0" applyFont="1" applyFill="1"/>
    <xf numFmtId="175" fontId="19" fillId="7" borderId="0" xfId="0" applyNumberFormat="1" applyFont="1" applyFill="1"/>
    <xf numFmtId="0" fontId="1" fillId="7" borderId="0" xfId="0" applyFont="1" applyFill="1"/>
    <xf numFmtId="176" fontId="19" fillId="7" borderId="0" xfId="0" applyNumberFormat="1" applyFont="1" applyFill="1"/>
    <xf numFmtId="0" fontId="1" fillId="5" borderId="0" xfId="0" applyFont="1" applyFill="1"/>
    <xf numFmtId="165" fontId="19" fillId="7" borderId="0" xfId="0" applyNumberFormat="1" applyFont="1" applyFill="1"/>
    <xf numFmtId="0" fontId="1" fillId="6" borderId="0" xfId="0" applyFont="1" applyFill="1"/>
    <xf numFmtId="0" fontId="18" fillId="6" borderId="0" xfId="0" applyFont="1" applyFill="1"/>
    <xf numFmtId="164" fontId="20" fillId="6" borderId="0" xfId="0" applyNumberFormat="1" applyFont="1" applyFill="1"/>
    <xf numFmtId="165" fontId="20" fillId="6" borderId="0" xfId="0" applyNumberFormat="1" applyFont="1" applyFill="1"/>
    <xf numFmtId="165" fontId="21" fillId="3" borderId="0" xfId="0" applyNumberFormat="1" applyFont="1" applyFill="1"/>
    <xf numFmtId="165" fontId="0" fillId="0" borderId="0" xfId="0" applyNumberFormat="1"/>
    <xf numFmtId="0" fontId="20" fillId="0" borderId="0" xfId="0" applyFont="1"/>
    <xf numFmtId="177" fontId="23" fillId="6" borderId="0" xfId="0" applyNumberFormat="1" applyFont="1" applyFill="1"/>
    <xf numFmtId="0" fontId="20" fillId="6" borderId="0" xfId="0" applyFont="1" applyFill="1"/>
    <xf numFmtId="0" fontId="18" fillId="12" borderId="0" xfId="0" applyFont="1" applyFill="1"/>
    <xf numFmtId="0" fontId="8" fillId="11" borderId="0" xfId="0" applyFont="1" applyFill="1"/>
    <xf numFmtId="169" fontId="23" fillId="0" borderId="0" xfId="0" applyNumberFormat="1" applyFont="1"/>
    <xf numFmtId="0" fontId="24" fillId="0" borderId="0" xfId="0" applyFont="1" applyAlignment="1">
      <alignment vertical="top" wrapText="1"/>
    </xf>
    <xf numFmtId="177" fontId="23" fillId="0" borderId="0" xfId="0" applyNumberFormat="1" applyFont="1"/>
    <xf numFmtId="0" fontId="25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6" fillId="0" borderId="0" xfId="0" applyFont="1"/>
    <xf numFmtId="0" fontId="11" fillId="11" borderId="0" xfId="0" applyFont="1" applyFill="1" applyAlignment="1">
      <alignment horizontal="center" vertical="center" wrapText="1"/>
    </xf>
    <xf numFmtId="0" fontId="2" fillId="0" borderId="0" xfId="0" applyFont="1"/>
    <xf numFmtId="0" fontId="2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1" fillId="13" borderId="1" xfId="0" applyFont="1" applyFill="1" applyBorder="1" applyAlignment="1">
      <alignment horizontal="center"/>
    </xf>
    <xf numFmtId="0" fontId="25" fillId="0" borderId="1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5" fillId="14" borderId="1" xfId="0" applyFont="1" applyFill="1" applyBorder="1" applyAlignment="1">
      <alignment vertical="top" wrapText="1"/>
    </xf>
    <xf numFmtId="0" fontId="29" fillId="14" borderId="1" xfId="0" applyFont="1" applyFill="1" applyBorder="1" applyAlignment="1">
      <alignment vertical="top" wrapText="1"/>
    </xf>
    <xf numFmtId="0" fontId="22" fillId="14" borderId="1" xfId="0" applyFont="1" applyFill="1" applyBorder="1" applyAlignment="1">
      <alignment vertical="top" wrapText="1"/>
    </xf>
    <xf numFmtId="0" fontId="19" fillId="0" borderId="0" xfId="0" applyFont="1"/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4" fillId="8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 wrapText="1"/>
    </xf>
    <xf numFmtId="0" fontId="17" fillId="8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/>
    </xf>
    <xf numFmtId="0" fontId="8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left" vertical="center"/>
    </xf>
    <xf numFmtId="177" fontId="1" fillId="0" borderId="0" xfId="0" applyNumberFormat="1" applyFont="1"/>
    <xf numFmtId="0" fontId="30" fillId="0" borderId="0" xfId="0" applyFont="1"/>
    <xf numFmtId="0" fontId="31" fillId="0" borderId="0" xfId="0" applyFont="1"/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21212"/>
      <rgbColor rgb="FF808000"/>
      <rgbColor rgb="FF800080"/>
      <rgbColor rgb="FF156082"/>
      <rgbColor rgb="FFBFBFBF"/>
      <rgbColor rgb="FF8B8B8B"/>
      <rgbColor rgb="FF9999FF"/>
      <rgbColor rgb="FF993366"/>
      <rgbColor rgb="FFFFF2CC"/>
      <rgbColor rgb="FFE2EFDA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3F4F6"/>
      <rgbColor rgb="FFD9E2F3"/>
      <rgbColor rgb="FFEEF1F5"/>
      <rgbColor rgb="FFF7F8FA"/>
      <rgbColor rgb="FFD9D9D9"/>
      <rgbColor rgb="FF3366FF"/>
      <rgbColor rgb="FF33CCCC"/>
      <rgbColor rgb="FF99CC00"/>
      <rgbColor rgb="FFFFCC00"/>
      <rgbColor rgb="FFFF9900"/>
      <rgbColor rgb="FFE97132"/>
      <rgbColor rgb="FF595959"/>
      <rgbColor rgb="FFB3B3B3"/>
      <rgbColor rgb="FF1F3864"/>
      <rgbColor rgb="FF339966"/>
      <rgbColor rgb="FF162033"/>
      <rgbColor rgb="FF374151"/>
      <rgbColor rgb="FF993300"/>
      <rgbColor rgb="FF993366"/>
      <rgbColor rgb="FF334155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Dashboard'!$Q$1:$T$1</c:f>
              <c:strCache>
                <c:ptCount val="4"/>
                <c:pt idx="0">
                  <c:v>Q1 2025
16 Weeks</c:v>
                </c:pt>
                <c:pt idx="1">
                  <c:v>Q2 2025
12 Weeks</c:v>
                </c:pt>
                <c:pt idx="2">
                  <c:v>Q3 2025
12 Weeks</c:v>
                </c:pt>
                <c:pt idx="3">
                  <c:v>Q4 2025
12 Weeks</c:v>
                </c:pt>
              </c:strCache>
            </c:strRef>
          </c:cat>
          <c:val>
            <c:numRef>
              <c:f>'KPI Dashboard'!$Q$2:$T$2</c:f>
              <c:numCache>
                <c:formatCode>\$#,##0;[Red]"($"#,##0\);\-</c:formatCode>
                <c:ptCount val="4"/>
                <c:pt idx="0">
                  <c:v>331826</c:v>
                </c:pt>
                <c:pt idx="1">
                  <c:v>280615</c:v>
                </c:pt>
                <c:pt idx="2">
                  <c:v>292238</c:v>
                </c:pt>
                <c:pt idx="3">
                  <c:v>274985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4-4557-BADA-6C06423CD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217947"/>
        <c:axId val="52963892"/>
      </c:lineChart>
      <c:catAx>
        <c:axId val="4321794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2963892"/>
        <c:crosses val="autoZero"/>
        <c:auto val="1"/>
        <c:lblAlgn val="ctr"/>
        <c:lblOffset val="100"/>
        <c:noMultiLvlLbl val="0"/>
      </c:catAx>
      <c:valAx>
        <c:axId val="5296389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3217947"/>
        <c:crosses val="autoZero"/>
        <c:crossBetween val="between"/>
      </c:valAx>
      <c:spPr>
        <a:noFill/>
        <a:ln w="0">
          <a:noFill/>
        </a:ln>
      </c:spPr>
    </c:plotArea>
    <c:plotVisOnly val="0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Margin %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Dashboard'!$Q$1:$T$1</c:f>
              <c:strCache>
                <c:ptCount val="4"/>
                <c:pt idx="0">
                  <c:v>Q1 2025
16 Weeks</c:v>
                </c:pt>
                <c:pt idx="1">
                  <c:v>Q2 2025
12 Weeks</c:v>
                </c:pt>
                <c:pt idx="2">
                  <c:v>Q3 2025
12 Weeks</c:v>
                </c:pt>
                <c:pt idx="3">
                  <c:v>Q4 2025
12 Weeks</c:v>
                </c:pt>
              </c:strCache>
            </c:strRef>
          </c:cat>
          <c:val>
            <c:numRef>
              <c:f>'KPI Dashboard'!$Q$3:$T$3</c:f>
              <c:numCache>
                <c:formatCode>0.0%;[Red]\(0.0%\);\-</c:formatCode>
                <c:ptCount val="4"/>
                <c:pt idx="0">
                  <c:v>0.251</c:v>
                </c:pt>
                <c:pt idx="1">
                  <c:v>0.26300000000000001</c:v>
                </c:pt>
                <c:pt idx="2">
                  <c:v>0.246</c:v>
                </c:pt>
                <c:pt idx="3">
                  <c:v>0.214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D-49D8-8622-478962F6A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667661"/>
        <c:axId val="1094597"/>
      </c:lineChart>
      <c:catAx>
        <c:axId val="9666766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094597"/>
        <c:crosses val="autoZero"/>
        <c:auto val="1"/>
        <c:lblAlgn val="ctr"/>
        <c:lblOffset val="100"/>
        <c:noMultiLvlLbl val="0"/>
      </c:catAx>
      <c:valAx>
        <c:axId val="109459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6667661"/>
        <c:crosses val="autoZero"/>
        <c:crossBetween val="between"/>
      </c:valAx>
      <c:spPr>
        <a:noFill/>
        <a:ln w="0">
          <a:noFill/>
        </a:ln>
      </c:spPr>
    </c:plotArea>
    <c:plotVisOnly val="0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chemeClr val="bg2">
                    <a:lumMod val="50000"/>
                  </a:schemeClr>
                </a:solidFill>
                <a:latin typeface="Calibri"/>
                <a:ea typeface="Calibri"/>
              </a:defRPr>
            </a:pPr>
            <a:r>
              <a:rPr lang="en-US" sz="1400" b="0" strike="noStrike" spc="-1">
                <a:solidFill>
                  <a:schemeClr val="bg2">
                    <a:lumMod val="50000"/>
                  </a:schemeClr>
                </a:solidFill>
                <a:latin typeface="Calibri"/>
                <a:ea typeface="Calibri"/>
              </a:rPr>
              <a:t>Revenue &amp; Adjusted EBITDA by Quarter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'Quarterly Trend'!$K$3:$N$3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'Quarterly Trend'!$K$4:$N$4</c:f>
              <c:numCache>
                <c:formatCode>General</c:formatCode>
                <c:ptCount val="4"/>
                <c:pt idx="0">
                  <c:v>331826</c:v>
                </c:pt>
                <c:pt idx="1">
                  <c:v>280615</c:v>
                </c:pt>
                <c:pt idx="2">
                  <c:v>292238</c:v>
                </c:pt>
                <c:pt idx="3">
                  <c:v>274985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B-4C17-913A-051064404000}"/>
            </c:ext>
          </c:extLst>
        </c:ser>
        <c:ser>
          <c:idx val="1"/>
          <c:order val="1"/>
          <c:tx>
            <c:v>Adjusted EBITDA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'Quarterly Trend'!$K$3:$N$3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'Quarterly Trend'!$K$5:$N$5</c:f>
              <c:numCache>
                <c:formatCode>General</c:formatCode>
                <c:ptCount val="4"/>
                <c:pt idx="0">
                  <c:v>44850</c:v>
                </c:pt>
                <c:pt idx="1">
                  <c:v>42100</c:v>
                </c:pt>
                <c:pt idx="2">
                  <c:v>40000</c:v>
                </c:pt>
                <c:pt idx="3">
                  <c:v>25764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B-4C17-913A-051064404000}"/>
            </c:ext>
          </c:extLst>
        </c:ser>
        <c:ser>
          <c:idx val="2"/>
          <c:order val="2"/>
          <c:tx>
            <c:v>Restaurant-Level Margin %</c:v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'Quarterly Trend'!$K$3:$N$3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'Quarterly Trend'!$B$5:$E$5</c:f>
              <c:numCache>
                <c:formatCode>0.0%;[Red]\(0.0%\);\-</c:formatCode>
                <c:ptCount val="4"/>
                <c:pt idx="0">
                  <c:v>0.251</c:v>
                </c:pt>
                <c:pt idx="1">
                  <c:v>0.26300000000000001</c:v>
                </c:pt>
                <c:pt idx="2">
                  <c:v>0.246</c:v>
                </c:pt>
                <c:pt idx="3">
                  <c:v>0.214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B-4C17-913A-051064404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242019"/>
        <c:axId val="2122804"/>
      </c:lineChart>
      <c:catAx>
        <c:axId val="722420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2122804"/>
        <c:crosses val="autoZero"/>
        <c:auto val="1"/>
        <c:lblAlgn val="ctr"/>
        <c:lblOffset val="100"/>
        <c:noMultiLvlLbl val="0"/>
      </c:catAx>
      <c:valAx>
        <c:axId val="21228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72242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>
                <a:solidFill>
                  <a:schemeClr val="bg2">
                    <a:lumMod val="50000"/>
                  </a:schemeClr>
                </a:solidFill>
                <a:latin typeface="+mj-lt"/>
              </a:defRPr>
            </a:pPr>
            <a:r>
              <a:rPr lang="en-US" sz="1400" b="0">
                <a:solidFill>
                  <a:schemeClr val="bg2">
                    <a:lumMod val="50000"/>
                  </a:schemeClr>
                </a:solidFill>
                <a:latin typeface="+mj-lt"/>
              </a:rPr>
              <a:t>Restaurant-Level Margin % by Quarter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Restaurant-Level Margin %</c:v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'Quarterly Trend'!$B$3:$E$3</c:f>
              <c:strCache>
                <c:ptCount val="4"/>
                <c:pt idx="0">
                  <c:v>Q1 2025
16 Weeks</c:v>
                </c:pt>
                <c:pt idx="1">
                  <c:v>Q2 2025
12 Weeks</c:v>
                </c:pt>
                <c:pt idx="2">
                  <c:v>Q3 2025
12 Weeks</c:v>
                </c:pt>
                <c:pt idx="3">
                  <c:v>Q4 2025
12 Weeks</c:v>
                </c:pt>
              </c:strCache>
            </c:strRef>
          </c:cat>
          <c:val>
            <c:numRef>
              <c:f>'Quarterly Trend'!$B$5:$E$5</c:f>
              <c:numCache>
                <c:formatCode>0.0%;[Red]\(0.0%\);\-</c:formatCode>
                <c:ptCount val="4"/>
                <c:pt idx="0">
                  <c:v>0.251</c:v>
                </c:pt>
                <c:pt idx="1">
                  <c:v>0.26300000000000001</c:v>
                </c:pt>
                <c:pt idx="2">
                  <c:v>0.246</c:v>
                </c:pt>
                <c:pt idx="3">
                  <c:v>0.214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E-49D3-BFA6-A6F03725A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940776"/>
        <c:axId val="1667953"/>
      </c:lineChart>
      <c:catAx>
        <c:axId val="37940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1667953"/>
        <c:crosses val="autoZero"/>
        <c:auto val="1"/>
        <c:lblAlgn val="ctr"/>
        <c:lblOffset val="100"/>
        <c:noMultiLvlLbl val="0"/>
      </c:catAx>
      <c:valAx>
        <c:axId val="16679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37940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FY2026 Restaurant-Level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Margin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 Reconciliation'!$L$3:$L$4</c:f>
              <c:strCache>
                <c:ptCount val="2"/>
                <c:pt idx="0">
                  <c:v>FY2026 Bottom-Up</c:v>
                </c:pt>
                <c:pt idx="1">
                  <c:v>Guidance Midpoint</c:v>
                </c:pt>
              </c:strCache>
            </c:strRef>
          </c:cat>
          <c:val>
            <c:numRef>
              <c:f>'Margin Reconciliation'!$M$3:$M$4</c:f>
              <c:numCache>
                <c:formatCode>0.0%;[Red]\(0.0%\);\-</c:formatCode>
                <c:ptCount val="2"/>
                <c:pt idx="0">
                  <c:v>0.23978186871374579</c:v>
                </c:pt>
                <c:pt idx="1">
                  <c:v>0.23949999999999999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E-456E-9462-57BE88613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42695"/>
        <c:axId val="31049465"/>
      </c:barChart>
      <c:catAx>
        <c:axId val="7034269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1049465"/>
        <c:crosses val="autoZero"/>
        <c:auto val="1"/>
        <c:lblAlgn val="ctr"/>
        <c:lblOffset val="100"/>
        <c:noMultiLvlLbl val="0"/>
      </c:catAx>
      <c:valAx>
        <c:axId val="31049465"/>
        <c:scaling>
          <c:orientation val="minMax"/>
          <c:max val="0.3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03426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59040</xdr:rowOff>
    </xdr:from>
    <xdr:to>
      <xdr:col>2</xdr:col>
      <xdr:colOff>864000</xdr:colOff>
      <xdr:row>25</xdr:row>
      <xdr:rowOff>174240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26280</xdr:colOff>
      <xdr:row>16</xdr:row>
      <xdr:rowOff>49320</xdr:rowOff>
    </xdr:from>
    <xdr:to>
      <xdr:col>7</xdr:col>
      <xdr:colOff>244800</xdr:colOff>
      <xdr:row>25</xdr:row>
      <xdr:rowOff>164520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843120</xdr:colOff>
      <xdr:row>23</xdr:row>
      <xdr:rowOff>177840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7</xdr:col>
      <xdr:colOff>844200</xdr:colOff>
      <xdr:row>40</xdr:row>
      <xdr:rowOff>189000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9</xdr:col>
      <xdr:colOff>1594800</xdr:colOff>
      <xdr:row>19</xdr:row>
      <xdr:rowOff>189000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zoomScale="80" zoomScaleNormal="80" workbookViewId="0">
      <selection activeCell="W12" sqref="W12"/>
    </sheetView>
  </sheetViews>
  <sheetFormatPr defaultColWidth="9" defaultRowHeight="15" x14ac:dyDescent="0.25"/>
  <cols>
    <col min="1" max="1" width="28" style="15" customWidth="1"/>
    <col min="2" max="5" width="13" style="15" customWidth="1"/>
    <col min="6" max="6" width="15" style="15" customWidth="1"/>
    <col min="7" max="7" width="3" style="15" customWidth="1"/>
    <col min="8" max="8" width="13" style="15" customWidth="1"/>
    <col min="9" max="9" width="22" style="15" customWidth="1"/>
    <col min="10" max="10" width="16" style="15" customWidth="1"/>
    <col min="11" max="11" width="15" style="15" customWidth="1"/>
    <col min="12" max="13" width="24" style="15" customWidth="1"/>
    <col min="14" max="14" width="25" style="15" customWidth="1"/>
    <col min="15" max="15" width="3.140625" style="15" customWidth="1"/>
    <col min="16" max="16" width="7.28515625" style="15" customWidth="1"/>
    <col min="17" max="17" width="7.85546875" style="15" hidden="1" customWidth="1"/>
    <col min="18" max="18" width="9.85546875" style="15" hidden="1" customWidth="1"/>
    <col min="19" max="19" width="7.28515625" style="15" hidden="1" customWidth="1"/>
    <col min="20" max="20" width="10" style="15" hidden="1" customWidth="1"/>
    <col min="21" max="16384" width="9" style="15"/>
  </cols>
  <sheetData>
    <row r="1" spans="1:21" ht="25.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P1" s="16" t="s">
        <v>1</v>
      </c>
      <c r="Q1" s="17" t="str">
        <f>'Quarterly Trend'!B3</f>
        <v>Q1 2025
16 Weeks</v>
      </c>
      <c r="R1" s="17" t="str">
        <f>'Quarterly Trend'!C3</f>
        <v>Q2 2025
12 Weeks</v>
      </c>
      <c r="S1" s="17" t="str">
        <f>'Quarterly Trend'!D3</f>
        <v>Q3 2025
12 Weeks</v>
      </c>
      <c r="T1" s="17" t="str">
        <f>'Quarterly Trend'!E3</f>
        <v>Q4 2025
12 Weeks</v>
      </c>
      <c r="U1" s="18"/>
    </row>
    <row r="2" spans="1:21" ht="25.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P2" s="16" t="s">
        <v>2</v>
      </c>
      <c r="Q2" s="19">
        <f>'Quarterly Trend'!B4</f>
        <v>331826</v>
      </c>
      <c r="R2" s="19">
        <f>'Quarterly Trend'!C4</f>
        <v>280615</v>
      </c>
      <c r="S2" s="19">
        <f>'Quarterly Trend'!D4</f>
        <v>292238</v>
      </c>
      <c r="T2" s="19">
        <f>'Quarterly Trend'!E4</f>
        <v>274985</v>
      </c>
      <c r="U2" s="18"/>
    </row>
    <row r="3" spans="1:21" ht="14.25" customHeight="1" x14ac:dyDescent="0.25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P3" s="16" t="s">
        <v>4</v>
      </c>
      <c r="Q3" s="20">
        <f>'Quarterly Trend'!B5</f>
        <v>0.251</v>
      </c>
      <c r="R3" s="20">
        <f>'Quarterly Trend'!C5</f>
        <v>0.26300000000000001</v>
      </c>
      <c r="S3" s="20">
        <f>'Quarterly Trend'!D5</f>
        <v>0.246</v>
      </c>
      <c r="T3" s="20">
        <f>'Quarterly Trend'!E5</f>
        <v>0.214</v>
      </c>
      <c r="U3" s="18"/>
    </row>
    <row r="4" spans="1:21" ht="14.25" customHeight="1" x14ac:dyDescent="0.25">
      <c r="A4" s="21"/>
      <c r="B4" s="21"/>
      <c r="C4" s="21"/>
      <c r="D4" s="21"/>
      <c r="E4" s="21"/>
      <c r="F4" s="21"/>
      <c r="G4" s="21"/>
      <c r="H4" s="21"/>
      <c r="I4" s="11" t="s">
        <v>5</v>
      </c>
      <c r="J4" s="11"/>
      <c r="K4" s="10" t="s">
        <v>6</v>
      </c>
      <c r="L4" s="10"/>
      <c r="M4" s="9" t="s">
        <v>7</v>
      </c>
      <c r="N4" s="9"/>
      <c r="P4" s="16" t="s">
        <v>8</v>
      </c>
      <c r="Q4" s="19">
        <f>'Quarterly Trend'!B6</f>
        <v>44850</v>
      </c>
      <c r="R4" s="19">
        <f>'Quarterly Trend'!C6</f>
        <v>42100</v>
      </c>
      <c r="S4" s="19">
        <f>'Quarterly Trend'!D6</f>
        <v>40000</v>
      </c>
      <c r="T4" s="19">
        <f>'Quarterly Trend'!E6</f>
        <v>25764</v>
      </c>
      <c r="U4" s="18"/>
    </row>
    <row r="5" spans="1:21" ht="14.25" customHeight="1" x14ac:dyDescent="0.25">
      <c r="A5" s="8" t="s">
        <v>9</v>
      </c>
      <c r="B5" s="8"/>
      <c r="C5" s="8"/>
      <c r="D5" s="8"/>
      <c r="E5" s="21"/>
      <c r="F5" s="8" t="s">
        <v>10</v>
      </c>
      <c r="G5" s="8"/>
      <c r="H5" s="8"/>
      <c r="I5" s="8"/>
      <c r="J5" s="21"/>
      <c r="K5" s="8" t="s">
        <v>11</v>
      </c>
      <c r="L5" s="8"/>
      <c r="M5" s="8"/>
      <c r="N5" s="8"/>
      <c r="P5" s="18"/>
      <c r="U5" s="18"/>
    </row>
    <row r="6" spans="1:21" ht="14.25" customHeight="1" x14ac:dyDescent="0.25">
      <c r="A6" s="8"/>
      <c r="B6" s="8"/>
      <c r="C6" s="8"/>
      <c r="D6" s="8"/>
      <c r="E6" s="21"/>
      <c r="F6" s="8"/>
      <c r="G6" s="8"/>
      <c r="H6" s="8"/>
      <c r="I6" s="8"/>
      <c r="J6" s="21"/>
      <c r="K6" s="8"/>
      <c r="L6" s="8"/>
      <c r="M6" s="8"/>
      <c r="N6" s="8"/>
      <c r="P6" s="18"/>
      <c r="U6" s="18"/>
    </row>
    <row r="7" spans="1:21" ht="14.25" customHeight="1" x14ac:dyDescent="0.25">
      <c r="A7" s="7">
        <f>'FY25 Actuals'!F5</f>
        <v>1179664</v>
      </c>
      <c r="B7" s="7"/>
      <c r="C7" s="6">
        <f>'FY26 RL Forecast'!F4</f>
        <v>1325738.06</v>
      </c>
      <c r="D7" s="6"/>
      <c r="E7" s="21"/>
      <c r="F7" s="5">
        <f>'FY25 Actuals'!F12</f>
        <v>0.2437761163650296</v>
      </c>
      <c r="G7" s="5"/>
      <c r="H7" s="4">
        <f>'FY26 RL Forecast'!F13</f>
        <v>0.23978186871374579</v>
      </c>
      <c r="I7" s="4"/>
      <c r="J7" s="21"/>
      <c r="K7" s="3">
        <f>'Guidance vs Actual'!E8</f>
        <v>152760</v>
      </c>
      <c r="L7" s="3"/>
      <c r="M7" s="2">
        <f>'FY26 RL Assumptions'!C22</f>
        <v>180000</v>
      </c>
      <c r="N7" s="2"/>
      <c r="P7" s="18"/>
      <c r="U7" s="18"/>
    </row>
    <row r="8" spans="1:21" ht="14.25" customHeight="1" x14ac:dyDescent="0.25">
      <c r="A8" s="7"/>
      <c r="B8" s="7"/>
      <c r="C8" s="6"/>
      <c r="D8" s="6"/>
      <c r="E8" s="21"/>
      <c r="F8" s="5"/>
      <c r="G8" s="5"/>
      <c r="H8" s="4"/>
      <c r="I8" s="4"/>
      <c r="J8" s="21"/>
      <c r="K8" s="3"/>
      <c r="L8" s="3"/>
      <c r="M8" s="2"/>
      <c r="N8" s="2"/>
    </row>
    <row r="9" spans="1:21" ht="14.25" customHeight="1" x14ac:dyDescent="0.25">
      <c r="A9" s="7"/>
      <c r="B9" s="7"/>
      <c r="C9" s="6"/>
      <c r="D9" s="6"/>
      <c r="E9" s="21"/>
      <c r="F9" s="5"/>
      <c r="G9" s="5"/>
      <c r="H9" s="4"/>
      <c r="I9" s="4"/>
      <c r="J9" s="21"/>
      <c r="K9" s="3"/>
      <c r="L9" s="3"/>
      <c r="M9" s="2"/>
      <c r="N9" s="2"/>
    </row>
    <row r="10" spans="1:21" ht="14.25" customHeight="1" x14ac:dyDescent="0.25">
      <c r="A10" s="1" t="s">
        <v>12</v>
      </c>
      <c r="B10" s="1"/>
      <c r="C10" s="94" t="s">
        <v>13</v>
      </c>
      <c r="D10" s="94"/>
      <c r="E10" s="21"/>
      <c r="F10" s="1" t="s">
        <v>12</v>
      </c>
      <c r="G10" s="1"/>
      <c r="H10" s="95" t="s">
        <v>14</v>
      </c>
      <c r="I10" s="95"/>
      <c r="J10" s="21"/>
      <c r="K10" s="1" t="s">
        <v>12</v>
      </c>
      <c r="L10" s="1"/>
      <c r="M10" s="95" t="s">
        <v>15</v>
      </c>
      <c r="N10" s="95"/>
    </row>
    <row r="11" spans="1:21" ht="14.25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21" ht="15" customHeight="1" x14ac:dyDescent="0.25">
      <c r="A12" s="96" t="s">
        <v>16</v>
      </c>
      <c r="B12" s="96"/>
      <c r="C12" s="96"/>
      <c r="D12" s="96"/>
      <c r="E12" s="96"/>
      <c r="F12" s="96"/>
      <c r="G12" s="96"/>
      <c r="H12" s="96"/>
      <c r="I12" s="96" t="s">
        <v>17</v>
      </c>
      <c r="J12" s="96"/>
      <c r="K12" s="96"/>
      <c r="L12" s="96"/>
      <c r="M12" s="96"/>
      <c r="N12" s="96"/>
    </row>
    <row r="13" spans="1:21" ht="33.75" customHeight="1" x14ac:dyDescent="0.25">
      <c r="A13" s="22" t="s">
        <v>1</v>
      </c>
      <c r="B13" s="22" t="s">
        <v>18</v>
      </c>
      <c r="C13" s="22" t="s">
        <v>19</v>
      </c>
      <c r="D13" s="22" t="s">
        <v>20</v>
      </c>
      <c r="E13" s="22" t="s">
        <v>21</v>
      </c>
      <c r="F13" s="97" t="s">
        <v>22</v>
      </c>
      <c r="G13" s="97"/>
      <c r="H13" s="23"/>
      <c r="I13" s="22" t="s">
        <v>1</v>
      </c>
      <c r="J13" s="22" t="s">
        <v>23</v>
      </c>
      <c r="K13" s="22" t="s">
        <v>5</v>
      </c>
      <c r="L13" s="22" t="s">
        <v>24</v>
      </c>
      <c r="M13" s="22" t="s">
        <v>25</v>
      </c>
      <c r="N13" s="22" t="s">
        <v>22</v>
      </c>
    </row>
    <row r="14" spans="1:21" ht="14.25" customHeight="1" x14ac:dyDescent="0.25">
      <c r="A14" s="24" t="s">
        <v>2</v>
      </c>
      <c r="B14" s="25">
        <f>'Quarterly Trend'!B4</f>
        <v>331826</v>
      </c>
      <c r="C14" s="25">
        <f>'Quarterly Trend'!C4</f>
        <v>280615</v>
      </c>
      <c r="D14" s="25">
        <f>'Quarterly Trend'!D4</f>
        <v>292238</v>
      </c>
      <c r="E14" s="25">
        <f>'Quarterly Trend'!E4</f>
        <v>274985</v>
      </c>
      <c r="F14" s="98" t="s">
        <v>5</v>
      </c>
      <c r="G14" s="98"/>
      <c r="H14" s="23"/>
      <c r="I14" s="24" t="s">
        <v>26</v>
      </c>
      <c r="J14" s="26" t="str">
        <f>TEXT('Guidance vs Actual'!B4,"0")&amp;"–"&amp;TEXT('Guidance vs Actual'!D4,"0")</f>
        <v>62–66</v>
      </c>
      <c r="K14" s="27">
        <f>'Guidance vs Actual'!E4</f>
        <v>72</v>
      </c>
      <c r="L14" s="28">
        <f>'Guidance vs Actual'!H4</f>
        <v>6</v>
      </c>
      <c r="M14" s="23" t="s">
        <v>27</v>
      </c>
      <c r="N14" s="29" t="s">
        <v>28</v>
      </c>
    </row>
    <row r="15" spans="1:21" ht="27" customHeight="1" x14ac:dyDescent="0.25">
      <c r="A15" s="24" t="s">
        <v>29</v>
      </c>
      <c r="B15" s="30">
        <f>'Quarterly Trend'!B5</f>
        <v>0.251</v>
      </c>
      <c r="C15" s="30">
        <f>'Quarterly Trend'!C5</f>
        <v>0.26300000000000001</v>
      </c>
      <c r="D15" s="30">
        <f>'Quarterly Trend'!D5</f>
        <v>0.246</v>
      </c>
      <c r="E15" s="30">
        <f>'Quarterly Trend'!E5</f>
        <v>0.214</v>
      </c>
      <c r="F15" s="98" t="s">
        <v>5</v>
      </c>
      <c r="G15" s="98"/>
      <c r="H15" s="23"/>
      <c r="I15" s="24" t="s">
        <v>30</v>
      </c>
      <c r="J15" s="26" t="str">
        <f>TEXT('Guidance vs Actual'!B5,"0.0%")&amp;"–"&amp;TEXT('Guidance vs Actual'!D5,"0.0%")</f>
        <v>6.0%–8.0%</v>
      </c>
      <c r="K15" s="31">
        <f>'Guidance vs Actual'!E5</f>
        <v>0.04</v>
      </c>
      <c r="L15" s="32">
        <f>'Guidance vs Actual'!G5</f>
        <v>-3.0000000000000006E-2</v>
      </c>
      <c r="M15" s="23" t="s">
        <v>31</v>
      </c>
      <c r="N15" s="29" t="s">
        <v>28</v>
      </c>
    </row>
    <row r="16" spans="1:21" ht="23.25" customHeight="1" x14ac:dyDescent="0.25">
      <c r="A16" s="24" t="s">
        <v>8</v>
      </c>
      <c r="B16" s="25">
        <f>'Quarterly Trend'!B6</f>
        <v>44850</v>
      </c>
      <c r="C16" s="25">
        <f>'Quarterly Trend'!C6</f>
        <v>42100</v>
      </c>
      <c r="D16" s="25">
        <f>'Quarterly Trend'!D6</f>
        <v>40000</v>
      </c>
      <c r="E16" s="25">
        <f>'Quarterly Trend'!E6</f>
        <v>25764</v>
      </c>
      <c r="F16" s="98" t="s">
        <v>5</v>
      </c>
      <c r="G16" s="98"/>
      <c r="H16" s="23"/>
      <c r="I16" s="24" t="s">
        <v>32</v>
      </c>
      <c r="J16" s="26" t="str">
        <f>TEXT('Guidance vs Actual'!B6,"0.0%")&amp;"–"&amp;TEXT('Guidance vs Actual'!D6,"0.0%")</f>
        <v>24.8%–25.2%</v>
      </c>
      <c r="K16" s="31">
        <f>'Guidance vs Actual'!E6</f>
        <v>0.24399999999999999</v>
      </c>
      <c r="L16" s="32">
        <f>'Guidance vs Actual'!G6</f>
        <v>-6.0000000000000053E-3</v>
      </c>
      <c r="M16" s="23" t="s">
        <v>31</v>
      </c>
      <c r="N16" s="29" t="s">
        <v>28</v>
      </c>
    </row>
    <row r="17" spans="1:14" ht="23.25" customHeight="1" x14ac:dyDescent="0.25">
      <c r="A17" s="23"/>
      <c r="B17" s="23"/>
      <c r="C17" s="23"/>
      <c r="D17" s="23"/>
      <c r="E17" s="23"/>
      <c r="F17" s="23"/>
      <c r="G17" s="23"/>
      <c r="H17" s="23"/>
      <c r="I17" s="24" t="s">
        <v>33</v>
      </c>
      <c r="J17" s="26" t="str">
        <f>TEXT('Guidance vs Actual'!B7/1000,"$0.0")&amp;"M–"&amp;TEXT('Guidance vs Actual'!D7/1000,"$0.0")&amp;"M"</f>
        <v>$14.0M–$15.0M</v>
      </c>
      <c r="K17" s="33">
        <f>'Guidance vs Actual'!E7</f>
        <v>19134</v>
      </c>
      <c r="L17" s="34">
        <f>'Guidance vs Actual'!G7</f>
        <v>4634</v>
      </c>
      <c r="M17" s="23" t="s">
        <v>34</v>
      </c>
      <c r="N17" s="29" t="s">
        <v>28</v>
      </c>
    </row>
    <row r="18" spans="1:14" ht="23.25" customHeight="1" x14ac:dyDescent="0.25">
      <c r="A18" s="23"/>
      <c r="B18" s="23"/>
      <c r="C18" s="23"/>
      <c r="D18" s="23"/>
      <c r="E18" s="23"/>
      <c r="F18" s="23"/>
      <c r="G18" s="23"/>
      <c r="H18" s="23"/>
      <c r="I18" s="24" t="s">
        <v>8</v>
      </c>
      <c r="J18" s="26" t="str">
        <f>TEXT('Guidance vs Actual'!B8/1000,"$0.0")&amp;"M–"&amp;TEXT('Guidance vs Actual'!D8/1000,"$0.0")&amp;"M"</f>
        <v>$150.0M–$157.0M</v>
      </c>
      <c r="K18" s="33">
        <f>'Guidance vs Actual'!E8</f>
        <v>152760</v>
      </c>
      <c r="L18" s="34">
        <f>'Guidance vs Actual'!G8</f>
        <v>-740</v>
      </c>
      <c r="M18" s="23" t="s">
        <v>34</v>
      </c>
      <c r="N18" s="29" t="s">
        <v>28</v>
      </c>
    </row>
    <row r="19" spans="1:14" ht="14.2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ht="14.2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ht="14.2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4.2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ht="14.2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4.2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4.2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4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4.2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4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4.2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 customHeight="1" x14ac:dyDescent="0.25">
      <c r="A30" s="99" t="s">
        <v>35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</row>
    <row r="31" spans="1:14" ht="33.75" customHeight="1" x14ac:dyDescent="0.25">
      <c r="A31" s="35" t="s">
        <v>1</v>
      </c>
      <c r="B31" s="35" t="s">
        <v>36</v>
      </c>
      <c r="C31" s="35" t="s">
        <v>37</v>
      </c>
      <c r="D31" s="35" t="s">
        <v>38</v>
      </c>
      <c r="E31" s="35" t="s">
        <v>39</v>
      </c>
      <c r="F31" s="35" t="s">
        <v>12</v>
      </c>
      <c r="G31" s="35"/>
      <c r="H31" s="35" t="s">
        <v>40</v>
      </c>
      <c r="I31" s="35" t="s">
        <v>41</v>
      </c>
      <c r="J31" s="35" t="s">
        <v>42</v>
      </c>
      <c r="K31" s="35" t="s">
        <v>43</v>
      </c>
      <c r="L31" s="35" t="s">
        <v>44</v>
      </c>
      <c r="M31" s="35" t="s">
        <v>45</v>
      </c>
      <c r="N31" s="35" t="s">
        <v>46</v>
      </c>
    </row>
    <row r="32" spans="1:14" ht="27" customHeight="1" x14ac:dyDescent="0.25">
      <c r="A32" s="24" t="s">
        <v>2</v>
      </c>
      <c r="B32" s="33">
        <f>'Quarterly Trend'!B4</f>
        <v>331826</v>
      </c>
      <c r="C32" s="33">
        <f>'Quarterly Trend'!C4</f>
        <v>280615</v>
      </c>
      <c r="D32" s="33">
        <f>'Quarterly Trend'!D4</f>
        <v>292238</v>
      </c>
      <c r="E32" s="33">
        <f>'Quarterly Trend'!E4</f>
        <v>274985</v>
      </c>
      <c r="F32" s="33">
        <f>'FY25 Actuals'!F5</f>
        <v>1179664</v>
      </c>
      <c r="G32" s="36"/>
      <c r="H32" s="37">
        <f>'FY26 RL Forecast'!B4</f>
        <v>372914.96349601244</v>
      </c>
      <c r="I32" s="37">
        <f>'FY26 RL Forecast'!C4</f>
        <v>315362.6674264028</v>
      </c>
      <c r="J32" s="37">
        <f>'FY26 RL Forecast'!D4</f>
        <v>328424.90673469735</v>
      </c>
      <c r="K32" s="37">
        <f>'FY26 RL Forecast'!E4</f>
        <v>309035.52234288747</v>
      </c>
      <c r="L32" s="37">
        <f>'FY26 RL Forecast'!F4</f>
        <v>1325738.06</v>
      </c>
      <c r="M32" s="29" t="s">
        <v>47</v>
      </c>
      <c r="N32" s="23" t="s">
        <v>48</v>
      </c>
    </row>
    <row r="33" spans="1:14" ht="27" customHeight="1" x14ac:dyDescent="0.25">
      <c r="A33" s="24" t="s">
        <v>49</v>
      </c>
      <c r="B33" s="33">
        <f>'FY25 Actuals'!B7</f>
        <v>96224</v>
      </c>
      <c r="C33" s="38">
        <f>'FY25 Actuals'!C7</f>
        <v>82210</v>
      </c>
      <c r="D33" s="33">
        <f>'FY25 Actuals'!D7</f>
        <v>87245</v>
      </c>
      <c r="E33" s="33">
        <f>'FY25 Actuals'!E7</f>
        <v>83005</v>
      </c>
      <c r="F33" s="33">
        <f>'FY25 Actuals'!F7</f>
        <v>348684</v>
      </c>
      <c r="G33" s="36"/>
      <c r="H33" s="37">
        <f>'FY26 RL Forecast'!B6</f>
        <v>110731.64696877361</v>
      </c>
      <c r="I33" s="37">
        <f>'FY26 RL Forecast'!C6</f>
        <v>94436.861503615437</v>
      </c>
      <c r="J33" s="37">
        <f>'FY26 RL Forecast'!D6</f>
        <v>100191.25793034326</v>
      </c>
      <c r="K33" s="37">
        <f>'FY26 RL Forecast'!E6</f>
        <v>95277.574853007231</v>
      </c>
      <c r="L33" s="37">
        <f>'FY26 RL Forecast'!F6</f>
        <v>400637.34125573951</v>
      </c>
      <c r="M33" s="29" t="s">
        <v>47</v>
      </c>
      <c r="N33" s="23" t="s">
        <v>50</v>
      </c>
    </row>
    <row r="34" spans="1:14" ht="27" customHeight="1" x14ac:dyDescent="0.25">
      <c r="A34" s="24" t="s">
        <v>51</v>
      </c>
      <c r="B34" s="33">
        <f>'FY25 Actuals'!B9</f>
        <v>84562</v>
      </c>
      <c r="C34" s="33">
        <f>'FY25 Actuals'!C9</f>
        <v>69496</v>
      </c>
      <c r="D34" s="33">
        <f>'FY25 Actuals'!D9</f>
        <v>73849</v>
      </c>
      <c r="E34" s="33">
        <f>'FY25 Actuals'!E9</f>
        <v>73954</v>
      </c>
      <c r="F34" s="33">
        <f>'FY25 Actuals'!F9</f>
        <v>301861</v>
      </c>
      <c r="G34" s="36"/>
      <c r="H34" s="37">
        <f>'FY26 RL Forecast'!B8</f>
        <v>96000.496657807147</v>
      </c>
      <c r="I34" s="37">
        <f>'FY26 RL Forecast'!C8</f>
        <v>78765.58023736038</v>
      </c>
      <c r="J34" s="37">
        <f>'FY26 RL Forecast'!D8</f>
        <v>83695.441608666588</v>
      </c>
      <c r="K34" s="37">
        <f>'FY26 RL Forecast'!E8</f>
        <v>83787.002211937986</v>
      </c>
      <c r="L34" s="37">
        <f>'FY26 RL Forecast'!F8</f>
        <v>342248.52071577212</v>
      </c>
      <c r="M34" s="29" t="s">
        <v>47</v>
      </c>
      <c r="N34" s="23" t="s">
        <v>52</v>
      </c>
    </row>
    <row r="35" spans="1:14" ht="27" customHeight="1" x14ac:dyDescent="0.25">
      <c r="A35" s="24" t="s">
        <v>53</v>
      </c>
      <c r="B35" s="33">
        <f>'FY25 Actuals'!B11</f>
        <v>82305</v>
      </c>
      <c r="C35" s="33">
        <f>'FY25 Actuals'!C11</f>
        <v>73262</v>
      </c>
      <c r="D35" s="33">
        <f>'FY25 Actuals'!D11</f>
        <v>71165</v>
      </c>
      <c r="E35" s="33">
        <f>'FY25 Actuals'!E11</f>
        <v>58312</v>
      </c>
      <c r="F35" s="33">
        <f>'FY25 Actuals'!F11</f>
        <v>285044</v>
      </c>
      <c r="G35" s="36"/>
      <c r="H35" s="39">
        <f>'FY26 RL Forecast'!B12</f>
        <v>91946.537887564336</v>
      </c>
      <c r="I35" s="39">
        <f>'FY26 RL Forecast'!C12</f>
        <v>81772.449689300614</v>
      </c>
      <c r="J35" s="39">
        <f>'FY26 RL Forecast'!D12</f>
        <v>79339.878648742102</v>
      </c>
      <c r="K35" s="39">
        <f>'FY26 RL Forecast'!E12</f>
        <v>64829.083226128991</v>
      </c>
      <c r="L35" s="39">
        <f>'FY26 RL Forecast'!F12</f>
        <v>317887.94945173606</v>
      </c>
      <c r="M35" s="29" t="s">
        <v>54</v>
      </c>
      <c r="N35" s="23" t="s">
        <v>55</v>
      </c>
    </row>
    <row r="36" spans="1:14" ht="27" customHeight="1" x14ac:dyDescent="0.25">
      <c r="A36" s="24" t="s">
        <v>29</v>
      </c>
      <c r="B36" s="31">
        <f>'FY25 Actuals'!B12</f>
        <v>0.25056167461230755</v>
      </c>
      <c r="C36" s="31">
        <f>'FY25 Actuals'!C12</f>
        <v>0.26329654374319406</v>
      </c>
      <c r="D36" s="31">
        <f>'FY25 Actuals'!D12</f>
        <v>0.24557692374054046</v>
      </c>
      <c r="E36" s="31">
        <f>'FY25 Actuals'!E12</f>
        <v>0.21377874237447209</v>
      </c>
      <c r="F36" s="31">
        <f>'FY25 Actuals'!F12</f>
        <v>0.2437761163650296</v>
      </c>
      <c r="G36" s="36"/>
      <c r="H36" s="40">
        <f>'FY26 RL Forecast'!B13</f>
        <v>0.24656167461230746</v>
      </c>
      <c r="I36" s="40">
        <f>'FY26 RL Forecast'!C13</f>
        <v>0.25929654374319405</v>
      </c>
      <c r="J36" s="40">
        <f>'FY26 RL Forecast'!D13</f>
        <v>0.24157692374054049</v>
      </c>
      <c r="K36" s="40">
        <f>'FY26 RL Forecast'!E13</f>
        <v>0.20977874237447205</v>
      </c>
      <c r="L36" s="40">
        <f>'FY26 RL Forecast'!F13</f>
        <v>0.23978186871374579</v>
      </c>
      <c r="M36" s="29" t="s">
        <v>54</v>
      </c>
      <c r="N36" s="23" t="s">
        <v>56</v>
      </c>
    </row>
    <row r="37" spans="1:14" ht="14.2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ht="14.2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ht="14.25" customHeight="1" x14ac:dyDescent="0.25">
      <c r="A39" s="100" t="s">
        <v>57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</row>
    <row r="40" spans="1:14" ht="14.25" customHeight="1" x14ac:dyDescent="0.25">
      <c r="A40" s="101" t="s">
        <v>58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</row>
    <row r="41" spans="1:14" ht="14.25" customHeight="1" x14ac:dyDescent="0.25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</row>
    <row r="42" spans="1:14" ht="14.2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</sheetData>
  <mergeCells count="29">
    <mergeCell ref="F15:G15"/>
    <mergeCell ref="F16:G16"/>
    <mergeCell ref="A30:N30"/>
    <mergeCell ref="A39:N39"/>
    <mergeCell ref="A40:N41"/>
    <mergeCell ref="M10:N10"/>
    <mergeCell ref="A12:H12"/>
    <mergeCell ref="I12:N12"/>
    <mergeCell ref="F13:G13"/>
    <mergeCell ref="F14:G14"/>
    <mergeCell ref="A10:B10"/>
    <mergeCell ref="C10:D10"/>
    <mergeCell ref="F10:G10"/>
    <mergeCell ref="H10:I10"/>
    <mergeCell ref="K10:L10"/>
    <mergeCell ref="A5:D6"/>
    <mergeCell ref="F5:I6"/>
    <mergeCell ref="K5:N6"/>
    <mergeCell ref="A7:B9"/>
    <mergeCell ref="C7:D9"/>
    <mergeCell ref="F7:G9"/>
    <mergeCell ref="H7:I9"/>
    <mergeCell ref="K7:L9"/>
    <mergeCell ref="M7:N9"/>
    <mergeCell ref="A1:N2"/>
    <mergeCell ref="A3:N3"/>
    <mergeCell ref="I4:J4"/>
    <mergeCell ref="K4:L4"/>
    <mergeCell ref="M4:N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tabSelected="1" zoomScaleNormal="100" workbookViewId="0">
      <selection activeCell="J28" sqref="J28"/>
    </sheetView>
  </sheetViews>
  <sheetFormatPr defaultColWidth="8.7109375" defaultRowHeight="15" x14ac:dyDescent="0.25"/>
  <cols>
    <col min="1" max="1" width="39" style="15" customWidth="1"/>
    <col min="2" max="2" width="14" style="15" customWidth="1"/>
    <col min="3" max="3" width="16" style="15" customWidth="1"/>
    <col min="4" max="5" width="14" style="15" customWidth="1"/>
    <col min="6" max="6" width="15" style="15" customWidth="1"/>
    <col min="7" max="7" width="17" style="15" customWidth="1"/>
    <col min="8" max="8" width="15" style="15" customWidth="1"/>
    <col min="9" max="9" width="18" style="15" customWidth="1"/>
    <col min="10" max="10" width="28" style="15" customWidth="1"/>
    <col min="11" max="11" width="24" style="15" customWidth="1"/>
    <col min="12" max="13" width="56" style="15" customWidth="1"/>
    <col min="14" max="16384" width="8.7109375" style="15"/>
  </cols>
  <sheetData>
    <row r="1" spans="1:13" ht="27.75" customHeight="1" x14ac:dyDescent="0.25">
      <c r="A1" s="102" t="s">
        <v>59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3" spans="1:13" ht="30" customHeight="1" x14ac:dyDescent="0.25">
      <c r="A3" s="41" t="s">
        <v>1</v>
      </c>
      <c r="B3" s="41" t="s">
        <v>60</v>
      </c>
      <c r="C3" s="41" t="s">
        <v>61</v>
      </c>
      <c r="D3" s="41" t="s">
        <v>62</v>
      </c>
      <c r="E3" s="41" t="s">
        <v>12</v>
      </c>
      <c r="F3" s="41" t="s">
        <v>63</v>
      </c>
      <c r="G3" s="41" t="s">
        <v>64</v>
      </c>
      <c r="H3" s="41" t="s">
        <v>65</v>
      </c>
      <c r="I3" s="41" t="s">
        <v>66</v>
      </c>
      <c r="J3" s="41" t="s">
        <v>67</v>
      </c>
      <c r="K3" s="41" t="s">
        <v>68</v>
      </c>
      <c r="L3" s="41" t="s">
        <v>69</v>
      </c>
      <c r="M3" s="41" t="s">
        <v>70</v>
      </c>
    </row>
    <row r="4" spans="1:13" ht="15" customHeight="1" x14ac:dyDescent="0.25">
      <c r="A4" s="42" t="s">
        <v>71</v>
      </c>
      <c r="B4" s="43">
        <v>62</v>
      </c>
      <c r="C4" s="43">
        <v>64</v>
      </c>
      <c r="D4" s="43">
        <v>66</v>
      </c>
      <c r="E4" s="43">
        <v>72</v>
      </c>
      <c r="F4" s="44">
        <f>E4-B4</f>
        <v>10</v>
      </c>
      <c r="G4" s="44">
        <f>E4-C4</f>
        <v>8</v>
      </c>
      <c r="H4" s="44">
        <f>E4-D4</f>
        <v>6</v>
      </c>
      <c r="I4" s="15" t="s">
        <v>27</v>
      </c>
      <c r="J4" s="15" t="s">
        <v>72</v>
      </c>
      <c r="K4" s="15" t="s">
        <v>73</v>
      </c>
      <c r="L4" s="15" t="s">
        <v>74</v>
      </c>
      <c r="M4" s="15" t="s">
        <v>75</v>
      </c>
    </row>
    <row r="5" spans="1:13" ht="15" customHeight="1" x14ac:dyDescent="0.25">
      <c r="A5" s="42" t="s">
        <v>30</v>
      </c>
      <c r="B5" s="45">
        <v>0.06</v>
      </c>
      <c r="C5" s="45">
        <v>7.0000000000000007E-2</v>
      </c>
      <c r="D5" s="45">
        <v>0.08</v>
      </c>
      <c r="E5" s="45">
        <v>0.04</v>
      </c>
      <c r="F5" s="46">
        <f>E5-B5</f>
        <v>-1.9999999999999997E-2</v>
      </c>
      <c r="G5" s="46">
        <f>E5-C5</f>
        <v>-3.0000000000000006E-2</v>
      </c>
      <c r="H5" s="46">
        <f>E5-D5</f>
        <v>-0.04</v>
      </c>
      <c r="I5" s="15" t="s">
        <v>76</v>
      </c>
      <c r="J5" s="15" t="s">
        <v>72</v>
      </c>
      <c r="K5" s="15" t="s">
        <v>73</v>
      </c>
      <c r="L5" s="15" t="s">
        <v>74</v>
      </c>
      <c r="M5" s="15" t="s">
        <v>75</v>
      </c>
    </row>
    <row r="6" spans="1:13" ht="15" customHeight="1" x14ac:dyDescent="0.25">
      <c r="A6" s="42" t="s">
        <v>77</v>
      </c>
      <c r="B6" s="45">
        <v>0.248</v>
      </c>
      <c r="C6" s="45">
        <v>0.25</v>
      </c>
      <c r="D6" s="45">
        <v>0.252</v>
      </c>
      <c r="E6" s="45">
        <v>0.24399999999999999</v>
      </c>
      <c r="F6" s="46">
        <f>E6-B6</f>
        <v>-4.0000000000000036E-3</v>
      </c>
      <c r="G6" s="46">
        <f>E6-C6</f>
        <v>-6.0000000000000053E-3</v>
      </c>
      <c r="H6" s="46">
        <f>E6-D6</f>
        <v>-8.0000000000000071E-3</v>
      </c>
      <c r="I6" s="15" t="s">
        <v>76</v>
      </c>
      <c r="J6" s="15" t="s">
        <v>72</v>
      </c>
      <c r="K6" s="15" t="s">
        <v>73</v>
      </c>
      <c r="L6" s="15" t="s">
        <v>74</v>
      </c>
      <c r="M6" s="15" t="s">
        <v>75</v>
      </c>
    </row>
    <row r="7" spans="1:13" ht="15" customHeight="1" x14ac:dyDescent="0.25">
      <c r="A7" s="42" t="s">
        <v>78</v>
      </c>
      <c r="B7" s="47">
        <v>14000</v>
      </c>
      <c r="C7" s="47">
        <v>14500</v>
      </c>
      <c r="D7" s="47">
        <v>15000</v>
      </c>
      <c r="E7" s="47">
        <v>19134</v>
      </c>
      <c r="F7" s="48">
        <f>E7-B7</f>
        <v>5134</v>
      </c>
      <c r="G7" s="48">
        <f>E7-C7</f>
        <v>4634</v>
      </c>
      <c r="H7" s="48">
        <f>E7-D7</f>
        <v>4134</v>
      </c>
      <c r="I7" s="15" t="s">
        <v>34</v>
      </c>
      <c r="J7" s="15" t="s">
        <v>72</v>
      </c>
      <c r="K7" s="15" t="s">
        <v>73</v>
      </c>
      <c r="L7" s="15" t="s">
        <v>74</v>
      </c>
      <c r="M7" s="15" t="s">
        <v>75</v>
      </c>
    </row>
    <row r="8" spans="1:13" ht="15" customHeight="1" x14ac:dyDescent="0.25">
      <c r="A8" s="42" t="s">
        <v>79</v>
      </c>
      <c r="B8" s="47">
        <v>150000</v>
      </c>
      <c r="C8" s="47">
        <v>153500</v>
      </c>
      <c r="D8" s="47">
        <v>157000</v>
      </c>
      <c r="E8" s="47">
        <v>152760</v>
      </c>
      <c r="F8" s="48">
        <f>E8-B8</f>
        <v>2760</v>
      </c>
      <c r="G8" s="48">
        <f>E8-C8</f>
        <v>-740</v>
      </c>
      <c r="H8" s="48">
        <f>E8-D8</f>
        <v>-4240</v>
      </c>
      <c r="I8" s="15" t="s">
        <v>34</v>
      </c>
      <c r="J8" s="15" t="s">
        <v>72</v>
      </c>
      <c r="K8" s="15" t="s">
        <v>73</v>
      </c>
      <c r="L8" s="15" t="s">
        <v>74</v>
      </c>
      <c r="M8" s="15" t="s">
        <v>75</v>
      </c>
    </row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zoomScale="85" zoomScaleNormal="85" workbookViewId="0">
      <selection activeCell="L5" sqref="L5"/>
    </sheetView>
  </sheetViews>
  <sheetFormatPr defaultColWidth="8.7109375" defaultRowHeight="15" x14ac:dyDescent="0.25"/>
  <cols>
    <col min="1" max="1" width="34" customWidth="1"/>
    <col min="2" max="5" width="15" customWidth="1"/>
    <col min="6" max="6" width="44.7109375" customWidth="1"/>
    <col min="7" max="7" width="80" customWidth="1"/>
    <col min="8" max="8" width="12" customWidth="1"/>
  </cols>
  <sheetData>
    <row r="1" spans="1:14" ht="27.75" customHeight="1" x14ac:dyDescent="0.25">
      <c r="A1" s="102" t="s">
        <v>80</v>
      </c>
      <c r="B1" s="102"/>
      <c r="C1" s="102"/>
      <c r="D1" s="102"/>
      <c r="E1" s="102"/>
      <c r="F1" s="102"/>
      <c r="G1" s="102"/>
      <c r="H1" s="102"/>
    </row>
    <row r="3" spans="1:14" ht="30" customHeight="1" x14ac:dyDescent="0.25">
      <c r="A3" s="41" t="s">
        <v>1</v>
      </c>
      <c r="B3" s="41" t="s">
        <v>18</v>
      </c>
      <c r="C3" s="41" t="s">
        <v>19</v>
      </c>
      <c r="D3" s="41" t="s">
        <v>20</v>
      </c>
      <c r="E3" s="41" t="s">
        <v>21</v>
      </c>
      <c r="F3" s="41" t="s">
        <v>81</v>
      </c>
      <c r="G3" s="41" t="s">
        <v>82</v>
      </c>
      <c r="H3" s="41" t="s">
        <v>83</v>
      </c>
      <c r="J3" s="49" t="s">
        <v>1</v>
      </c>
      <c r="K3" s="49" t="s">
        <v>84</v>
      </c>
      <c r="L3" s="49" t="s">
        <v>85</v>
      </c>
      <c r="M3" s="49" t="s">
        <v>86</v>
      </c>
      <c r="N3" s="49" t="s">
        <v>87</v>
      </c>
    </row>
    <row r="4" spans="1:14" ht="15" customHeight="1" x14ac:dyDescent="0.25">
      <c r="A4" s="42" t="s">
        <v>2</v>
      </c>
      <c r="B4" s="47">
        <v>331826</v>
      </c>
      <c r="C4" s="47">
        <v>280615</v>
      </c>
      <c r="D4" s="47">
        <v>292238</v>
      </c>
      <c r="E4" s="47">
        <v>274985</v>
      </c>
      <c r="F4" t="s">
        <v>88</v>
      </c>
      <c r="G4" t="s">
        <v>89</v>
      </c>
      <c r="H4" t="s">
        <v>34</v>
      </c>
      <c r="J4" s="49" t="s">
        <v>2</v>
      </c>
      <c r="K4" s="49">
        <v>331826</v>
      </c>
      <c r="L4" s="49">
        <v>280615</v>
      </c>
      <c r="M4" s="49">
        <v>292238</v>
      </c>
      <c r="N4" s="49">
        <v>274985</v>
      </c>
    </row>
    <row r="5" spans="1:14" ht="15" customHeight="1" x14ac:dyDescent="0.25">
      <c r="A5" s="42" t="s">
        <v>29</v>
      </c>
      <c r="B5" s="45">
        <v>0.251</v>
      </c>
      <c r="C5" s="45">
        <v>0.26300000000000001</v>
      </c>
      <c r="D5" s="45">
        <v>0.246</v>
      </c>
      <c r="E5" s="45">
        <v>0.214</v>
      </c>
      <c r="F5" t="s">
        <v>90</v>
      </c>
      <c r="G5" t="s">
        <v>89</v>
      </c>
      <c r="H5" t="s">
        <v>91</v>
      </c>
      <c r="J5" s="49" t="s">
        <v>8</v>
      </c>
      <c r="K5" s="49">
        <v>44850</v>
      </c>
      <c r="L5" s="49">
        <v>42100</v>
      </c>
      <c r="M5" s="49">
        <v>40000</v>
      </c>
      <c r="N5" s="49">
        <v>25764</v>
      </c>
    </row>
    <row r="6" spans="1:14" ht="15" customHeight="1" x14ac:dyDescent="0.25">
      <c r="A6" s="42" t="s">
        <v>8</v>
      </c>
      <c r="B6" s="47">
        <v>44850</v>
      </c>
      <c r="C6" s="47">
        <v>42100</v>
      </c>
      <c r="D6" s="47">
        <v>40000</v>
      </c>
      <c r="E6" s="47">
        <v>25764</v>
      </c>
      <c r="F6" t="s">
        <v>90</v>
      </c>
      <c r="G6" t="s">
        <v>89</v>
      </c>
      <c r="H6" t="s">
        <v>34</v>
      </c>
      <c r="J6" s="49" t="s">
        <v>29</v>
      </c>
      <c r="K6" s="49">
        <v>0.251</v>
      </c>
      <c r="L6" s="49">
        <v>0.26300000000000001</v>
      </c>
      <c r="M6" s="49">
        <v>0.246</v>
      </c>
      <c r="N6" s="49">
        <v>0.214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8"/>
  <sheetViews>
    <sheetView zoomScale="90" zoomScaleNormal="90" workbookViewId="0">
      <selection activeCell="J13" sqref="J13"/>
    </sheetView>
  </sheetViews>
  <sheetFormatPr defaultColWidth="9" defaultRowHeight="15" x14ac:dyDescent="0.25"/>
  <cols>
    <col min="1" max="1" width="34" style="15" customWidth="1"/>
    <col min="2" max="6" width="15" style="15" customWidth="1"/>
    <col min="7" max="7" width="22" style="15" customWidth="1"/>
    <col min="8" max="8" width="34" style="15" customWidth="1"/>
    <col min="9" max="9" width="20" style="15" customWidth="1"/>
    <col min="10" max="10" width="64" style="15" customWidth="1"/>
    <col min="11" max="16384" width="9" style="15"/>
  </cols>
  <sheetData>
    <row r="1" spans="1:10" ht="27.75" customHeight="1" x14ac:dyDescent="0.25">
      <c r="A1" s="102" t="s">
        <v>92</v>
      </c>
      <c r="B1" s="102"/>
      <c r="C1" s="102"/>
      <c r="D1" s="102"/>
      <c r="E1" s="102"/>
      <c r="F1" s="102"/>
      <c r="G1" s="102"/>
      <c r="H1" s="102"/>
      <c r="I1" s="102"/>
      <c r="J1" s="102"/>
    </row>
    <row r="3" spans="1:10" ht="30" customHeight="1" x14ac:dyDescent="0.25">
      <c r="A3" s="41" t="s">
        <v>93</v>
      </c>
      <c r="B3" s="41" t="s">
        <v>18</v>
      </c>
      <c r="C3" s="41" t="s">
        <v>19</v>
      </c>
      <c r="D3" s="41" t="s">
        <v>20</v>
      </c>
      <c r="E3" s="41" t="s">
        <v>21</v>
      </c>
      <c r="F3" s="41" t="s">
        <v>94</v>
      </c>
      <c r="G3" s="41" t="s">
        <v>95</v>
      </c>
      <c r="H3" s="41" t="s">
        <v>96</v>
      </c>
      <c r="I3" s="41" t="s">
        <v>97</v>
      </c>
      <c r="J3" s="41" t="s">
        <v>98</v>
      </c>
    </row>
    <row r="4" spans="1:10" ht="15" customHeight="1" x14ac:dyDescent="0.25">
      <c r="A4" s="42" t="s">
        <v>99</v>
      </c>
      <c r="B4" s="50">
        <v>16</v>
      </c>
      <c r="C4" s="50">
        <v>12</v>
      </c>
      <c r="D4" s="50">
        <v>12</v>
      </c>
      <c r="E4" s="50">
        <v>12</v>
      </c>
      <c r="F4" s="50">
        <v>52</v>
      </c>
      <c r="G4" s="15" t="s">
        <v>5</v>
      </c>
      <c r="H4" s="15" t="s">
        <v>100</v>
      </c>
      <c r="I4" s="15" t="s">
        <v>101</v>
      </c>
    </row>
    <row r="5" spans="1:10" ht="15" customHeight="1" x14ac:dyDescent="0.25">
      <c r="A5" s="42" t="s">
        <v>102</v>
      </c>
      <c r="B5" s="51">
        <v>331826</v>
      </c>
      <c r="C5" s="51">
        <v>280615</v>
      </c>
      <c r="D5" s="51">
        <v>292238</v>
      </c>
      <c r="E5" s="51">
        <v>274985</v>
      </c>
      <c r="F5" s="51">
        <f>SUM(B5:E5)</f>
        <v>1179664</v>
      </c>
      <c r="G5" s="15" t="s">
        <v>5</v>
      </c>
      <c r="H5" s="15" t="s">
        <v>103</v>
      </c>
      <c r="I5" s="15" t="s">
        <v>104</v>
      </c>
      <c r="J5" s="15" t="s">
        <v>105</v>
      </c>
    </row>
    <row r="6" spans="1:10" ht="15" customHeight="1" x14ac:dyDescent="0.25">
      <c r="A6" s="42" t="s">
        <v>106</v>
      </c>
      <c r="B6" s="52">
        <v>328482</v>
      </c>
      <c r="C6" s="52">
        <v>278249</v>
      </c>
      <c r="D6" s="52">
        <v>289787</v>
      </c>
      <c r="E6" s="52">
        <v>272768</v>
      </c>
      <c r="F6" s="51">
        <f>SUM(B6:E6)</f>
        <v>1169286</v>
      </c>
      <c r="G6" s="15" t="s">
        <v>5</v>
      </c>
      <c r="H6" s="15" t="s">
        <v>107</v>
      </c>
      <c r="I6" s="15" t="s">
        <v>101</v>
      </c>
    </row>
    <row r="7" spans="1:10" ht="15" customHeight="1" x14ac:dyDescent="0.25">
      <c r="A7" s="42" t="s">
        <v>108</v>
      </c>
      <c r="B7" s="52">
        <v>96224</v>
      </c>
      <c r="C7" s="52">
        <v>82210</v>
      </c>
      <c r="D7" s="52">
        <v>87245</v>
      </c>
      <c r="E7" s="52">
        <v>83005</v>
      </c>
      <c r="F7" s="51">
        <f>SUM(B7:E7)</f>
        <v>348684</v>
      </c>
      <c r="G7" s="15" t="s">
        <v>5</v>
      </c>
      <c r="H7" s="15" t="s">
        <v>103</v>
      </c>
      <c r="I7" s="15" t="s">
        <v>104</v>
      </c>
      <c r="J7" s="15" t="s">
        <v>109</v>
      </c>
    </row>
    <row r="8" spans="1:10" ht="15" customHeight="1" x14ac:dyDescent="0.25">
      <c r="A8" s="42" t="s">
        <v>110</v>
      </c>
      <c r="B8" s="53">
        <f>B7/B6</f>
        <v>0.29293538154297649</v>
      </c>
      <c r="C8" s="53">
        <f>C7/C6</f>
        <v>0.295454790493407</v>
      </c>
      <c r="D8" s="53">
        <f>D7/D6</f>
        <v>0.3010659553396115</v>
      </c>
      <c r="E8" s="53">
        <f>E7/E6</f>
        <v>0.30430622360394183</v>
      </c>
      <c r="F8" s="53">
        <f>F7/F6</f>
        <v>0.29820249280330047</v>
      </c>
      <c r="G8" s="15" t="s">
        <v>5</v>
      </c>
      <c r="H8" s="15" t="s">
        <v>103</v>
      </c>
      <c r="I8" s="15" t="s">
        <v>104</v>
      </c>
      <c r="J8" s="15" t="s">
        <v>111</v>
      </c>
    </row>
    <row r="9" spans="1:10" ht="15" customHeight="1" x14ac:dyDescent="0.25">
      <c r="A9" s="42" t="s">
        <v>112</v>
      </c>
      <c r="B9" s="51">
        <v>84562</v>
      </c>
      <c r="C9" s="51">
        <v>69496</v>
      </c>
      <c r="D9" s="51">
        <v>73849</v>
      </c>
      <c r="E9" s="51">
        <v>73954</v>
      </c>
      <c r="F9" s="51">
        <f>SUM(B9:E9)</f>
        <v>301861</v>
      </c>
      <c r="G9" s="15" t="s">
        <v>5</v>
      </c>
      <c r="H9" s="15" t="s">
        <v>103</v>
      </c>
      <c r="I9" s="15" t="s">
        <v>104</v>
      </c>
      <c r="J9" s="15" t="s">
        <v>113</v>
      </c>
    </row>
    <row r="10" spans="1:10" ht="15" customHeight="1" x14ac:dyDescent="0.25">
      <c r="A10" s="42" t="s">
        <v>114</v>
      </c>
      <c r="B10" s="53">
        <f>B9/B6</f>
        <v>0.25743267515419416</v>
      </c>
      <c r="C10" s="53">
        <f>C9/C6</f>
        <v>0.2497619039062135</v>
      </c>
      <c r="D10" s="53">
        <f>D9/D6</f>
        <v>0.25483889891541028</v>
      </c>
      <c r="E10" s="53">
        <f>E9/E6</f>
        <v>0.27112417878930078</v>
      </c>
      <c r="F10" s="53">
        <f>F9/F6</f>
        <v>0.25815839751780145</v>
      </c>
      <c r="G10" s="15" t="s">
        <v>5</v>
      </c>
      <c r="H10" s="15" t="s">
        <v>103</v>
      </c>
      <c r="I10" s="15" t="s">
        <v>104</v>
      </c>
      <c r="J10" s="15" t="s">
        <v>115</v>
      </c>
    </row>
    <row r="11" spans="1:10" ht="15" customHeight="1" x14ac:dyDescent="0.25">
      <c r="A11" s="42" t="s">
        <v>116</v>
      </c>
      <c r="B11" s="51">
        <v>82305</v>
      </c>
      <c r="C11" s="51">
        <v>73262</v>
      </c>
      <c r="D11" s="51">
        <v>71165</v>
      </c>
      <c r="E11" s="51">
        <v>58312</v>
      </c>
      <c r="F11" s="51">
        <f>SUM(B11:E11)</f>
        <v>285044</v>
      </c>
      <c r="G11" s="15" t="s">
        <v>5</v>
      </c>
      <c r="H11" s="15" t="s">
        <v>117</v>
      </c>
      <c r="I11" s="15" t="s">
        <v>101</v>
      </c>
    </row>
    <row r="12" spans="1:10" ht="15" customHeight="1" x14ac:dyDescent="0.25">
      <c r="A12" s="42" t="s">
        <v>29</v>
      </c>
      <c r="B12" s="54">
        <f>B11/B6</f>
        <v>0.25056167461230755</v>
      </c>
      <c r="C12" s="54">
        <f>C11/C6</f>
        <v>0.26329654374319406</v>
      </c>
      <c r="D12" s="54">
        <f>D11/D6</f>
        <v>0.24557692374054046</v>
      </c>
      <c r="E12" s="54">
        <f>E11/E6</f>
        <v>0.21377874237447209</v>
      </c>
      <c r="F12" s="54">
        <f>F11/F6</f>
        <v>0.2437761163650296</v>
      </c>
      <c r="G12" s="15" t="s">
        <v>5</v>
      </c>
      <c r="H12" s="15" t="s">
        <v>117</v>
      </c>
      <c r="I12" s="15" t="s">
        <v>101</v>
      </c>
    </row>
    <row r="13" spans="1:10" ht="15" customHeight="1" x14ac:dyDescent="0.25">
      <c r="A13" s="42" t="s">
        <v>118</v>
      </c>
      <c r="B13" s="51">
        <v>41394</v>
      </c>
      <c r="C13" s="51">
        <v>32051</v>
      </c>
      <c r="D13" s="51">
        <v>31499</v>
      </c>
      <c r="E13" s="51">
        <v>32518</v>
      </c>
      <c r="F13" s="51">
        <f>SUM(B13:E13)</f>
        <v>137462</v>
      </c>
      <c r="G13" s="15" t="s">
        <v>119</v>
      </c>
      <c r="H13" s="15" t="s">
        <v>120</v>
      </c>
      <c r="I13" s="15" t="s">
        <v>104</v>
      </c>
      <c r="J13" s="15" t="s">
        <v>121</v>
      </c>
    </row>
    <row r="14" spans="1:10" ht="15" customHeight="1" x14ac:dyDescent="0.25">
      <c r="A14" s="42" t="s">
        <v>122</v>
      </c>
      <c r="B14" s="51">
        <v>20811</v>
      </c>
      <c r="C14" s="51">
        <v>16815</v>
      </c>
      <c r="D14" s="51">
        <v>17628</v>
      </c>
      <c r="E14" s="51">
        <v>18407</v>
      </c>
      <c r="F14" s="51">
        <f>SUM(B14:E14)</f>
        <v>73661</v>
      </c>
      <c r="G14" s="15" t="s">
        <v>5</v>
      </c>
      <c r="H14" s="55" t="s">
        <v>123</v>
      </c>
      <c r="I14" s="15" t="s">
        <v>104</v>
      </c>
      <c r="J14" s="15" t="s">
        <v>124</v>
      </c>
    </row>
    <row r="15" spans="1:10" ht="15" customHeight="1" x14ac:dyDescent="0.25">
      <c r="A15" s="42" t="s">
        <v>33</v>
      </c>
      <c r="B15" s="51">
        <v>4481</v>
      </c>
      <c r="C15" s="51">
        <v>5096</v>
      </c>
      <c r="D15" s="51">
        <v>4942</v>
      </c>
      <c r="E15" s="51">
        <v>4615</v>
      </c>
      <c r="F15" s="51">
        <f>SUM(B15:E15)</f>
        <v>19134</v>
      </c>
      <c r="G15" s="15" t="s">
        <v>5</v>
      </c>
      <c r="H15" s="15" t="s">
        <v>103</v>
      </c>
      <c r="I15" s="15" t="s">
        <v>104</v>
      </c>
      <c r="J15" s="15" t="s">
        <v>105</v>
      </c>
    </row>
    <row r="16" spans="1:10" ht="15" customHeight="1" x14ac:dyDescent="0.25">
      <c r="A16" s="42" t="s">
        <v>125</v>
      </c>
      <c r="B16" s="47">
        <v>2933</v>
      </c>
      <c r="C16" s="47">
        <v>2939</v>
      </c>
      <c r="D16" s="47">
        <v>2935</v>
      </c>
      <c r="E16" s="47">
        <v>2934</v>
      </c>
      <c r="F16" s="47">
        <v>2930</v>
      </c>
      <c r="G16" s="15" t="s">
        <v>5</v>
      </c>
      <c r="H16" s="15" t="s">
        <v>126</v>
      </c>
      <c r="I16" s="15" t="s">
        <v>104</v>
      </c>
      <c r="J16" s="15" t="s">
        <v>127</v>
      </c>
    </row>
    <row r="17" spans="1:10" ht="15" customHeight="1" x14ac:dyDescent="0.25">
      <c r="A17" s="42" t="s">
        <v>128</v>
      </c>
      <c r="B17" s="45">
        <v>0.108</v>
      </c>
      <c r="C17" s="45">
        <v>2.1000000000000001E-2</v>
      </c>
      <c r="D17" s="45">
        <v>1.9E-2</v>
      </c>
      <c r="E17" s="45">
        <v>5.0000000000000001E-3</v>
      </c>
      <c r="F17" s="45">
        <v>0.04</v>
      </c>
      <c r="G17" s="15" t="s">
        <v>5</v>
      </c>
      <c r="H17" s="15" t="s">
        <v>103</v>
      </c>
      <c r="I17" s="15" t="s">
        <v>104</v>
      </c>
    </row>
    <row r="18" spans="1:10" ht="15" customHeight="1" x14ac:dyDescent="0.25">
      <c r="A18" s="42" t="s">
        <v>129</v>
      </c>
      <c r="B18" s="45">
        <v>0.38</v>
      </c>
      <c r="C18" s="45">
        <v>0.373</v>
      </c>
      <c r="D18" s="45">
        <v>0.376</v>
      </c>
      <c r="E18" s="45">
        <v>0.38900000000000001</v>
      </c>
      <c r="F18" s="45">
        <v>0.379</v>
      </c>
      <c r="G18" s="15" t="s">
        <v>5</v>
      </c>
      <c r="H18" s="15" t="s">
        <v>130</v>
      </c>
      <c r="I18" s="15" t="s">
        <v>104</v>
      </c>
      <c r="J18" s="15" t="s">
        <v>131</v>
      </c>
    </row>
  </sheetData>
  <mergeCells count="1">
    <mergeCell ref="A1:J1"/>
  </mergeCells>
  <pageMargins left="0.7" right="0.7" top="0.75" bottom="0.75" header="0.511811023622047" footer="0.511811023622047"/>
  <pageSetup paperSize="9" scale="4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zoomScaleNormal="100" workbookViewId="0">
      <selection activeCell="F9" sqref="F9"/>
    </sheetView>
  </sheetViews>
  <sheetFormatPr defaultColWidth="9.140625" defaultRowHeight="15" x14ac:dyDescent="0.25"/>
  <cols>
    <col min="1" max="1" width="38" style="15" customWidth="1"/>
    <col min="2" max="5" width="14" style="15" customWidth="1"/>
    <col min="6" max="6" width="19" style="15" customWidth="1"/>
    <col min="7" max="7" width="23.140625" style="15" customWidth="1"/>
    <col min="8" max="10" width="14" style="15" customWidth="1"/>
    <col min="11" max="16384" width="9.140625" style="15"/>
  </cols>
  <sheetData>
    <row r="1" spans="1:10" ht="27.75" customHeight="1" x14ac:dyDescent="0.25">
      <c r="A1" s="102" t="s">
        <v>132</v>
      </c>
      <c r="B1" s="102"/>
      <c r="C1" s="102"/>
      <c r="D1" s="102"/>
      <c r="E1" s="102"/>
      <c r="F1" s="102"/>
      <c r="G1" s="102"/>
      <c r="H1" s="102"/>
      <c r="I1" s="102"/>
      <c r="J1" s="102"/>
    </row>
    <row r="3" spans="1:10" ht="15" customHeight="1" x14ac:dyDescent="0.25">
      <c r="A3" s="41" t="s">
        <v>133</v>
      </c>
      <c r="B3" s="41" t="s">
        <v>36</v>
      </c>
      <c r="C3" s="41" t="s">
        <v>37</v>
      </c>
      <c r="D3" s="41" t="s">
        <v>38</v>
      </c>
      <c r="E3" s="41" t="s">
        <v>39</v>
      </c>
      <c r="F3" s="41" t="s">
        <v>134</v>
      </c>
      <c r="G3" s="41" t="s">
        <v>135</v>
      </c>
      <c r="H3" s="41" t="s">
        <v>136</v>
      </c>
      <c r="I3" s="41" t="s">
        <v>137</v>
      </c>
      <c r="J3" s="41" t="s">
        <v>138</v>
      </c>
    </row>
    <row r="4" spans="1:10" ht="15" customHeight="1" x14ac:dyDescent="0.25">
      <c r="A4" s="42" t="s">
        <v>139</v>
      </c>
      <c r="B4" s="56">
        <f>'FY25 Actuals'!B5</f>
        <v>331826</v>
      </c>
      <c r="C4" s="56">
        <f>'FY25 Actuals'!C5</f>
        <v>280615</v>
      </c>
      <c r="D4" s="56">
        <f>'FY25 Actuals'!D5</f>
        <v>292238</v>
      </c>
      <c r="E4" s="56">
        <f>'FY25 Actuals'!E5</f>
        <v>274985</v>
      </c>
      <c r="F4" s="56">
        <f>'FY25 Actuals'!F5</f>
        <v>1179664</v>
      </c>
      <c r="G4" s="57"/>
      <c r="H4" s="57"/>
      <c r="I4" s="57"/>
      <c r="J4" s="57"/>
    </row>
    <row r="5" spans="1:10" ht="15" customHeight="1" x14ac:dyDescent="0.25">
      <c r="A5" s="42" t="s">
        <v>140</v>
      </c>
      <c r="B5" s="46">
        <f>B4/$F$4</f>
        <v>0.28128857030476473</v>
      </c>
      <c r="C5" s="46">
        <f>C4/$F$4</f>
        <v>0.23787705651778812</v>
      </c>
      <c r="D5" s="46">
        <f>D4/$F$4</f>
        <v>0.24772986206241776</v>
      </c>
      <c r="E5" s="46">
        <f>E4/$F$4</f>
        <v>0.23310451111502936</v>
      </c>
      <c r="F5" s="46">
        <f>SUM(B5:E5)</f>
        <v>1</v>
      </c>
      <c r="G5" s="46">
        <f>B5</f>
        <v>0.28128857030476473</v>
      </c>
      <c r="H5" s="46">
        <f>C5</f>
        <v>0.23787705651778812</v>
      </c>
      <c r="I5" s="46">
        <f>D5</f>
        <v>0.24772986206241776</v>
      </c>
      <c r="J5" s="46">
        <f>E5</f>
        <v>0.23310451111502936</v>
      </c>
    </row>
    <row r="6" spans="1:10" ht="15" customHeight="1" x14ac:dyDescent="0.25">
      <c r="A6" s="42" t="s">
        <v>125</v>
      </c>
      <c r="B6" s="56">
        <f>'FY25 Actuals'!B16</f>
        <v>2933</v>
      </c>
      <c r="C6" s="56">
        <f>'FY25 Actuals'!C16</f>
        <v>2939</v>
      </c>
      <c r="D6" s="56">
        <f>'FY25 Actuals'!D16</f>
        <v>2935</v>
      </c>
      <c r="E6" s="56">
        <f>IF('FY25 Actuals'!E16="","",'FY25 Actuals'!E16)</f>
        <v>2934</v>
      </c>
      <c r="F6" s="56">
        <f>'FY25 Actuals'!F16</f>
        <v>2930</v>
      </c>
      <c r="G6" s="57"/>
      <c r="H6" s="57"/>
      <c r="I6" s="57"/>
      <c r="J6" s="57"/>
    </row>
    <row r="7" spans="1:10" ht="15" customHeight="1" x14ac:dyDescent="0.25">
      <c r="A7" s="42" t="s">
        <v>141</v>
      </c>
      <c r="B7" s="58">
        <f>'FY25 Actuals'!B8</f>
        <v>0.29293538154297649</v>
      </c>
      <c r="C7" s="58">
        <f>'FY25 Actuals'!C8</f>
        <v>0.295454790493407</v>
      </c>
      <c r="D7" s="58">
        <f>'FY25 Actuals'!D8</f>
        <v>0.3010659553396115</v>
      </c>
      <c r="E7" s="58">
        <f>'FY25 Actuals'!E8</f>
        <v>0.30430622360394183</v>
      </c>
      <c r="F7" s="58">
        <f>'FY25 Actuals'!F8</f>
        <v>0.29820249280330047</v>
      </c>
      <c r="G7" s="46">
        <f>B7+$C$25</f>
        <v>0.2969353815429765</v>
      </c>
      <c r="H7" s="46">
        <f>C7+$C$25</f>
        <v>0.29945479049340701</v>
      </c>
      <c r="I7" s="46">
        <f>D7+$C$25</f>
        <v>0.30506595533961151</v>
      </c>
      <c r="J7" s="46">
        <f>E7+$C$25</f>
        <v>0.30830622360394183</v>
      </c>
    </row>
    <row r="8" spans="1:10" ht="15" customHeight="1" x14ac:dyDescent="0.25">
      <c r="A8" s="42" t="s">
        <v>142</v>
      </c>
      <c r="B8" s="58">
        <f>'FY25 Actuals'!B10</f>
        <v>0.25743267515419416</v>
      </c>
      <c r="C8" s="58">
        <f>'FY25 Actuals'!C10</f>
        <v>0.2497619039062135</v>
      </c>
      <c r="D8" s="58">
        <f>'FY25 Actuals'!D10</f>
        <v>0.25483889891541028</v>
      </c>
      <c r="E8" s="58">
        <f>'FY25 Actuals'!E10</f>
        <v>0.27112417878930078</v>
      </c>
      <c r="F8" s="58">
        <f>'FY25 Actuals'!F10</f>
        <v>0.25815839751780145</v>
      </c>
      <c r="G8" s="46">
        <f>B8</f>
        <v>0.25743267515419416</v>
      </c>
      <c r="H8" s="46">
        <f>C8</f>
        <v>0.2497619039062135</v>
      </c>
      <c r="I8" s="46">
        <f>D8</f>
        <v>0.25483889891541028</v>
      </c>
      <c r="J8" s="46">
        <f>E8</f>
        <v>0.27112417878930078</v>
      </c>
    </row>
    <row r="9" spans="1:10" ht="15" customHeight="1" x14ac:dyDescent="0.25">
      <c r="A9" s="42" t="s">
        <v>78</v>
      </c>
      <c r="B9" s="56">
        <f>'FY25 Actuals'!B15</f>
        <v>4481</v>
      </c>
      <c r="C9" s="56">
        <f>'FY25 Actuals'!C15</f>
        <v>5096</v>
      </c>
      <c r="D9" s="56">
        <f>'FY25 Actuals'!D15</f>
        <v>4942</v>
      </c>
      <c r="E9" s="56">
        <f>'FY25 Actuals'!E15</f>
        <v>4615</v>
      </c>
      <c r="F9" s="56">
        <f>'FY25 Actuals'!F15</f>
        <v>19134</v>
      </c>
      <c r="G9" s="57"/>
      <c r="H9" s="57"/>
      <c r="I9" s="57"/>
      <c r="J9" s="57"/>
    </row>
    <row r="10" spans="1:10" ht="15" customHeight="1" x14ac:dyDescent="0.25">
      <c r="A10" s="42" t="s">
        <v>29</v>
      </c>
      <c r="B10" s="58">
        <f>'FY25 Actuals'!B12</f>
        <v>0.25056167461230755</v>
      </c>
      <c r="C10" s="58">
        <f>'FY25 Actuals'!C12</f>
        <v>0.26329654374319406</v>
      </c>
      <c r="D10" s="58">
        <f>'FY25 Actuals'!D12</f>
        <v>0.24557692374054046</v>
      </c>
      <c r="E10" s="58">
        <f>'FY25 Actuals'!E12</f>
        <v>0.21377874237447209</v>
      </c>
      <c r="F10" s="58">
        <f>'FY25 Actuals'!F12</f>
        <v>0.2437761163650296</v>
      </c>
      <c r="G10" s="59"/>
      <c r="H10" s="59"/>
      <c r="I10" s="59"/>
      <c r="J10" s="59"/>
    </row>
    <row r="11" spans="1:10" ht="15" customHeight="1" x14ac:dyDescent="0.25">
      <c r="A11" s="42" t="s">
        <v>128</v>
      </c>
      <c r="B11" s="58">
        <f>'FY25 Actuals'!B17</f>
        <v>0.108</v>
      </c>
      <c r="C11" s="58">
        <f>'FY25 Actuals'!C17</f>
        <v>2.1000000000000001E-2</v>
      </c>
      <c r="D11" s="58">
        <f>'FY25 Actuals'!D17</f>
        <v>1.9E-2</v>
      </c>
      <c r="E11" s="58">
        <f>'FY25 Actuals'!E17</f>
        <v>5.0000000000000001E-3</v>
      </c>
      <c r="F11" s="58">
        <f>'FY25 Actuals'!F17</f>
        <v>0.04</v>
      </c>
      <c r="G11" s="59"/>
      <c r="H11" s="59"/>
      <c r="I11" s="59"/>
      <c r="J11" s="59"/>
    </row>
    <row r="12" spans="1:10" ht="15" customHeight="1" x14ac:dyDescent="0.25">
      <c r="A12" s="42" t="s">
        <v>129</v>
      </c>
      <c r="B12" s="58">
        <f>IF('FY25 Actuals'!B18="","",'FY25 Actuals'!B18)</f>
        <v>0.38</v>
      </c>
      <c r="C12" s="58">
        <f>IF('FY25 Actuals'!C18="","",'FY25 Actuals'!C18)</f>
        <v>0.373</v>
      </c>
      <c r="D12" s="58">
        <f>IF('FY25 Actuals'!D18="","",'FY25 Actuals'!D18)</f>
        <v>0.376</v>
      </c>
      <c r="E12" s="58">
        <f>'FY25 Actuals'!E18</f>
        <v>0.38900000000000001</v>
      </c>
      <c r="F12" s="58">
        <f>'FY25 Actuals'!F18</f>
        <v>0.379</v>
      </c>
      <c r="G12" s="59"/>
      <c r="H12" s="59"/>
      <c r="I12" s="59"/>
      <c r="J12" s="59"/>
    </row>
    <row r="13" spans="1:10" ht="15" customHeight="1" x14ac:dyDescent="0.25">
      <c r="A13" s="42" t="s">
        <v>143</v>
      </c>
      <c r="B13" s="46">
        <f>1-B7-B8-B10</f>
        <v>0.1990702686905218</v>
      </c>
      <c r="C13" s="46">
        <f>1-C7-C8-C10</f>
        <v>0.19148676185718538</v>
      </c>
      <c r="D13" s="46">
        <f>1-D7-D8-D10</f>
        <v>0.19851822200443769</v>
      </c>
      <c r="E13" s="46">
        <f>1-E7-E8-E10</f>
        <v>0.21079085523228536</v>
      </c>
      <c r="F13" s="46">
        <f>SUMPRODUCT(B5:E5,B13:E13)</f>
        <v>0.19986168955332875</v>
      </c>
      <c r="G13" s="46">
        <f>B13</f>
        <v>0.1990702686905218</v>
      </c>
      <c r="H13" s="46">
        <f>C13</f>
        <v>0.19148676185718538</v>
      </c>
      <c r="I13" s="46">
        <f>D13</f>
        <v>0.19851822200443769</v>
      </c>
      <c r="J13" s="46">
        <f>E13</f>
        <v>0.21079085523228536</v>
      </c>
    </row>
    <row r="14" spans="1:10" ht="15" customHeight="1" x14ac:dyDescent="0.25">
      <c r="A14" s="42" t="s">
        <v>144</v>
      </c>
      <c r="B14" s="56">
        <f>'FY25 Actuals'!B7</f>
        <v>96224</v>
      </c>
      <c r="C14" s="56">
        <f>'FY25 Actuals'!C7</f>
        <v>82210</v>
      </c>
      <c r="D14" s="56">
        <f>'FY25 Actuals'!D7</f>
        <v>87245</v>
      </c>
      <c r="E14" s="56">
        <f>'FY25 Actuals'!E7</f>
        <v>83005</v>
      </c>
      <c r="F14" s="56">
        <f>'FY25 Actuals'!F7</f>
        <v>348684</v>
      </c>
    </row>
    <row r="15" spans="1:10" ht="15" customHeight="1" x14ac:dyDescent="0.25">
      <c r="A15" s="42" t="s">
        <v>145</v>
      </c>
      <c r="B15" s="56">
        <f>'FY25 Actuals'!B9</f>
        <v>84562</v>
      </c>
      <c r="C15" s="56">
        <f>'FY25 Actuals'!C9</f>
        <v>69496</v>
      </c>
      <c r="D15" s="56">
        <f>'FY25 Actuals'!D9</f>
        <v>73849</v>
      </c>
      <c r="E15" s="56">
        <f>'FY25 Actuals'!E9</f>
        <v>73954</v>
      </c>
      <c r="F15" s="56">
        <f>'FY25 Actuals'!F9</f>
        <v>301861</v>
      </c>
    </row>
    <row r="16" spans="1:10" ht="15" customHeight="1" x14ac:dyDescent="0.25">
      <c r="A16" s="103" t="s">
        <v>146</v>
      </c>
      <c r="B16" s="103"/>
      <c r="C16" s="103"/>
      <c r="D16" s="103"/>
      <c r="E16" s="103"/>
      <c r="F16" s="103"/>
      <c r="G16" s="103"/>
      <c r="H16" s="103"/>
      <c r="I16" s="103"/>
      <c r="J16" s="103"/>
    </row>
    <row r="17" spans="1:10" ht="30" customHeight="1" x14ac:dyDescent="0.25">
      <c r="A17" s="41" t="s">
        <v>147</v>
      </c>
      <c r="B17" s="41" t="s">
        <v>148</v>
      </c>
      <c r="C17" s="41" t="s">
        <v>149</v>
      </c>
      <c r="D17" s="41" t="s">
        <v>150</v>
      </c>
      <c r="E17" s="41" t="s">
        <v>25</v>
      </c>
      <c r="F17" s="41" t="s">
        <v>151</v>
      </c>
      <c r="H17" s="104" t="s">
        <v>152</v>
      </c>
      <c r="I17" s="104"/>
      <c r="J17" s="104"/>
    </row>
    <row r="18" spans="1:10" ht="15" customHeight="1" x14ac:dyDescent="0.25">
      <c r="A18" s="42" t="s">
        <v>26</v>
      </c>
      <c r="B18" s="43">
        <v>74</v>
      </c>
      <c r="C18" s="43">
        <v>75</v>
      </c>
      <c r="D18" s="43">
        <v>76</v>
      </c>
      <c r="E18" s="15" t="s">
        <v>27</v>
      </c>
      <c r="F18" s="15" t="s">
        <v>153</v>
      </c>
      <c r="H18" s="105" t="s">
        <v>154</v>
      </c>
      <c r="I18" s="105"/>
      <c r="J18" s="105"/>
    </row>
    <row r="19" spans="1:10" ht="15" customHeight="1" x14ac:dyDescent="0.25">
      <c r="A19" s="42" t="s">
        <v>155</v>
      </c>
      <c r="B19" s="45">
        <v>0.03</v>
      </c>
      <c r="C19" s="45">
        <v>0.04</v>
      </c>
      <c r="D19" s="45">
        <v>0.05</v>
      </c>
      <c r="E19" s="15" t="s">
        <v>91</v>
      </c>
      <c r="F19" s="15" t="s">
        <v>153</v>
      </c>
      <c r="H19" s="105"/>
      <c r="I19" s="105"/>
      <c r="J19" s="105"/>
    </row>
    <row r="20" spans="1:10" ht="15" customHeight="1" x14ac:dyDescent="0.25">
      <c r="A20" s="42" t="s">
        <v>32</v>
      </c>
      <c r="B20" s="45">
        <v>0.23699999999999999</v>
      </c>
      <c r="C20" s="45">
        <v>0.23949999999999999</v>
      </c>
      <c r="D20" s="45">
        <v>0.24199999999999999</v>
      </c>
      <c r="E20" s="15" t="s">
        <v>91</v>
      </c>
      <c r="F20" s="15" t="s">
        <v>153</v>
      </c>
      <c r="H20" s="105"/>
      <c r="I20" s="105"/>
      <c r="J20" s="105"/>
    </row>
    <row r="21" spans="1:10" ht="15" customHeight="1" x14ac:dyDescent="0.25">
      <c r="A21" s="42" t="s">
        <v>33</v>
      </c>
      <c r="B21" s="47">
        <v>19500</v>
      </c>
      <c r="C21" s="47">
        <v>19750</v>
      </c>
      <c r="D21" s="47">
        <v>20000</v>
      </c>
      <c r="E21" s="15" t="s">
        <v>34</v>
      </c>
      <c r="F21" s="15" t="s">
        <v>153</v>
      </c>
      <c r="H21" s="105"/>
      <c r="I21" s="105"/>
      <c r="J21" s="105"/>
    </row>
    <row r="22" spans="1:10" ht="15" customHeight="1" x14ac:dyDescent="0.25">
      <c r="A22" s="42" t="s">
        <v>8</v>
      </c>
      <c r="B22" s="47">
        <v>176000</v>
      </c>
      <c r="C22" s="47">
        <v>180000</v>
      </c>
      <c r="D22" s="47">
        <v>184000</v>
      </c>
      <c r="E22" s="15" t="s">
        <v>34</v>
      </c>
      <c r="F22" s="15" t="s">
        <v>153</v>
      </c>
    </row>
    <row r="23" spans="1:10" ht="15" customHeight="1" x14ac:dyDescent="0.25">
      <c r="A23" s="60" t="s">
        <v>156</v>
      </c>
      <c r="B23" s="61">
        <v>0.5</v>
      </c>
      <c r="C23" s="61">
        <v>0.5</v>
      </c>
      <c r="D23" s="61">
        <v>0.5</v>
      </c>
      <c r="E23" s="62" t="s">
        <v>157</v>
      </c>
      <c r="F23" s="62" t="s">
        <v>158</v>
      </c>
      <c r="H23" s="104" t="s">
        <v>159</v>
      </c>
      <c r="I23" s="104"/>
      <c r="J23" s="104"/>
    </row>
    <row r="24" spans="1:10" ht="15" customHeight="1" x14ac:dyDescent="0.25">
      <c r="A24" s="60" t="s">
        <v>160</v>
      </c>
      <c r="B24" s="63">
        <v>0.9</v>
      </c>
      <c r="C24" s="63">
        <v>0.9</v>
      </c>
      <c r="D24" s="63">
        <v>0.9</v>
      </c>
      <c r="E24" s="62" t="s">
        <v>161</v>
      </c>
      <c r="F24" s="62" t="s">
        <v>162</v>
      </c>
      <c r="H24" s="64" t="s">
        <v>163</v>
      </c>
      <c r="I24" s="64" t="s">
        <v>164</v>
      </c>
      <c r="J24" s="64" t="s">
        <v>165</v>
      </c>
    </row>
    <row r="25" spans="1:10" ht="15" customHeight="1" x14ac:dyDescent="0.25">
      <c r="A25" s="60" t="s">
        <v>166</v>
      </c>
      <c r="B25" s="65">
        <v>4.0000000000000001E-3</v>
      </c>
      <c r="C25" s="65">
        <v>4.0000000000000001E-3</v>
      </c>
      <c r="D25" s="65">
        <v>4.0000000000000001E-3</v>
      </c>
      <c r="E25" s="62" t="s">
        <v>31</v>
      </c>
      <c r="F25" s="62" t="s">
        <v>167</v>
      </c>
      <c r="H25" s="66" t="s">
        <v>6</v>
      </c>
      <c r="I25" s="66" t="s">
        <v>168</v>
      </c>
      <c r="J25" s="66" t="s">
        <v>169</v>
      </c>
    </row>
    <row r="26" spans="1:10" ht="15" customHeight="1" x14ac:dyDescent="0.25">
      <c r="A26" s="60" t="s">
        <v>170</v>
      </c>
      <c r="B26" s="65">
        <v>0</v>
      </c>
      <c r="C26" s="65">
        <v>0</v>
      </c>
      <c r="D26" s="65">
        <v>0</v>
      </c>
      <c r="E26" s="62" t="s">
        <v>31</v>
      </c>
      <c r="F26" s="62" t="s">
        <v>171</v>
      </c>
      <c r="H26" s="62" t="s">
        <v>172</v>
      </c>
      <c r="I26" s="62" t="s">
        <v>173</v>
      </c>
      <c r="J26" s="62" t="s">
        <v>174</v>
      </c>
    </row>
    <row r="27" spans="1:10" ht="15" customHeight="1" x14ac:dyDescent="0.25">
      <c r="A27" s="60" t="s">
        <v>175</v>
      </c>
      <c r="B27" s="65">
        <v>0</v>
      </c>
      <c r="C27" s="65">
        <v>0</v>
      </c>
      <c r="D27" s="65">
        <v>0</v>
      </c>
      <c r="E27" s="62" t="s">
        <v>31</v>
      </c>
      <c r="F27" s="62" t="s">
        <v>171</v>
      </c>
    </row>
  </sheetData>
  <mergeCells count="5">
    <mergeCell ref="A1:J1"/>
    <mergeCell ref="A16:J16"/>
    <mergeCell ref="H17:J17"/>
    <mergeCell ref="H18:J21"/>
    <mergeCell ref="H23:J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zoomScaleNormal="100" workbookViewId="0">
      <selection activeCell="F14" sqref="F14"/>
    </sheetView>
  </sheetViews>
  <sheetFormatPr defaultColWidth="9.140625" defaultRowHeight="15" x14ac:dyDescent="0.25"/>
  <cols>
    <col min="1" max="1" width="38" style="15" customWidth="1"/>
    <col min="2" max="5" width="16" style="15" customWidth="1"/>
    <col min="6" max="6" width="18" style="15" customWidth="1"/>
    <col min="7" max="7" width="28" style="15" customWidth="1"/>
    <col min="8" max="8" width="48" style="15" customWidth="1"/>
    <col min="9" max="16384" width="9.140625" style="15"/>
  </cols>
  <sheetData>
    <row r="1" spans="1:8" ht="27.75" customHeight="1" x14ac:dyDescent="0.25">
      <c r="A1" s="102" t="s">
        <v>176</v>
      </c>
      <c r="B1" s="102"/>
      <c r="C1" s="102"/>
      <c r="D1" s="102"/>
      <c r="E1" s="102"/>
      <c r="F1" s="102"/>
      <c r="G1" s="102"/>
      <c r="H1" s="102"/>
    </row>
    <row r="3" spans="1:8" ht="30" customHeight="1" x14ac:dyDescent="0.25">
      <c r="A3" s="41" t="s">
        <v>93</v>
      </c>
      <c r="B3" s="41" t="s">
        <v>177</v>
      </c>
      <c r="C3" s="41" t="s">
        <v>178</v>
      </c>
      <c r="D3" s="41" t="s">
        <v>179</v>
      </c>
      <c r="E3" s="41" t="s">
        <v>180</v>
      </c>
      <c r="F3" s="41" t="s">
        <v>181</v>
      </c>
      <c r="G3" s="41" t="s">
        <v>45</v>
      </c>
      <c r="H3" s="41" t="s">
        <v>182</v>
      </c>
    </row>
    <row r="4" spans="1:8" ht="15" customHeight="1" x14ac:dyDescent="0.25">
      <c r="A4" s="42" t="s">
        <v>2</v>
      </c>
      <c r="B4" s="56">
        <f>$F4*'FY26 RL Assumptions'!G5</f>
        <v>372914.96349601244</v>
      </c>
      <c r="C4" s="56">
        <f>$F4*'FY26 RL Assumptions'!H5</f>
        <v>315362.6674264028</v>
      </c>
      <c r="D4" s="56">
        <f>$F4*'FY26 RL Assumptions'!I5</f>
        <v>328424.90673469735</v>
      </c>
      <c r="E4" s="56">
        <f>$F4*'FY26 RL Assumptions'!J5</f>
        <v>309035.52234288747</v>
      </c>
      <c r="F4" s="56">
        <f>'FY26 RL Assumptions'!F4*(1+'FY26 RL Assumptions'!C19)+'FY26 RL Assumptions'!C18*'FY26 RL Assumptions'!F6*'FY26 RL Assumptions'!C23*'FY26 RL Assumptions'!C24</f>
        <v>1325738.06</v>
      </c>
      <c r="G4" s="15" t="s">
        <v>7</v>
      </c>
      <c r="H4" s="15" t="s">
        <v>183</v>
      </c>
    </row>
    <row r="5" spans="1:8" ht="15" customHeight="1" x14ac:dyDescent="0.25">
      <c r="A5" s="42" t="s">
        <v>184</v>
      </c>
      <c r="B5" s="46">
        <f>B4/'FY26 RL Assumptions'!B4-1</f>
        <v>0.12382683543788753</v>
      </c>
      <c r="C5" s="46">
        <f>C4/'FY26 RL Assumptions'!C4-1</f>
        <v>0.12382683543788753</v>
      </c>
      <c r="D5" s="46">
        <f>D4/'FY26 RL Assumptions'!D4-1</f>
        <v>0.12382683543788753</v>
      </c>
      <c r="E5" s="46">
        <f>E4/'FY26 RL Assumptions'!E4-1</f>
        <v>0.12382683543788753</v>
      </c>
      <c r="F5" s="46">
        <f>F4/'FY26 RL Assumptions'!F4-1</f>
        <v>0.12382683543788753</v>
      </c>
      <c r="G5" s="15" t="s">
        <v>185</v>
      </c>
      <c r="H5" s="15" t="s">
        <v>186</v>
      </c>
    </row>
    <row r="6" spans="1:8" ht="15" customHeight="1" x14ac:dyDescent="0.25">
      <c r="A6" s="42" t="s">
        <v>49</v>
      </c>
      <c r="B6" s="48">
        <f>B4*B7</f>
        <v>110731.64696877361</v>
      </c>
      <c r="C6" s="48">
        <f>C4*C7</f>
        <v>94436.861503615437</v>
      </c>
      <c r="D6" s="48">
        <f>D4*D7</f>
        <v>100191.25793034326</v>
      </c>
      <c r="E6" s="48">
        <f>E4*E7</f>
        <v>95277.574853007231</v>
      </c>
      <c r="F6" s="48">
        <f>SUM(B6:E6)</f>
        <v>400637.34125573951</v>
      </c>
      <c r="G6" s="15" t="s">
        <v>185</v>
      </c>
      <c r="H6" s="15" t="s">
        <v>187</v>
      </c>
    </row>
    <row r="7" spans="1:8" ht="15" customHeight="1" x14ac:dyDescent="0.25">
      <c r="A7" s="42" t="s">
        <v>141</v>
      </c>
      <c r="B7" s="58">
        <f>'FY26 RL Assumptions'!G7</f>
        <v>0.2969353815429765</v>
      </c>
      <c r="C7" s="58">
        <f>'FY26 RL Assumptions'!H7</f>
        <v>0.29945479049340701</v>
      </c>
      <c r="D7" s="58">
        <f>'FY26 RL Assumptions'!I7</f>
        <v>0.30506595533961151</v>
      </c>
      <c r="E7" s="58">
        <f>'FY26 RL Assumptions'!J7</f>
        <v>0.30830622360394183</v>
      </c>
      <c r="F7" s="58">
        <f>F6/F4</f>
        <v>0.30219947163298572</v>
      </c>
      <c r="G7" s="15" t="s">
        <v>7</v>
      </c>
      <c r="H7" s="15" t="s">
        <v>188</v>
      </c>
    </row>
    <row r="8" spans="1:8" ht="15" customHeight="1" x14ac:dyDescent="0.25">
      <c r="A8" s="42" t="s">
        <v>51</v>
      </c>
      <c r="B8" s="48">
        <f>B4*B9</f>
        <v>96000.496657807147</v>
      </c>
      <c r="C8" s="48">
        <f>C4*C9</f>
        <v>78765.58023736038</v>
      </c>
      <c r="D8" s="48">
        <f>D4*D9</f>
        <v>83695.441608666588</v>
      </c>
      <c r="E8" s="48">
        <f>E4*E9</f>
        <v>83787.002211937986</v>
      </c>
      <c r="F8" s="48">
        <f>SUM(B8:E8)</f>
        <v>342248.52071577212</v>
      </c>
      <c r="G8" s="15" t="s">
        <v>185</v>
      </c>
      <c r="H8" s="15" t="s">
        <v>189</v>
      </c>
    </row>
    <row r="9" spans="1:8" ht="15" customHeight="1" x14ac:dyDescent="0.25">
      <c r="A9" s="42" t="s">
        <v>142</v>
      </c>
      <c r="B9" s="58">
        <f>'FY26 RL Assumptions'!G8</f>
        <v>0.25743267515419416</v>
      </c>
      <c r="C9" s="58">
        <f>'FY26 RL Assumptions'!H8</f>
        <v>0.2497619039062135</v>
      </c>
      <c r="D9" s="58">
        <f>'FY26 RL Assumptions'!I8</f>
        <v>0.25483889891541028</v>
      </c>
      <c r="E9" s="58">
        <f>'FY26 RL Assumptions'!J8</f>
        <v>0.27112417878930078</v>
      </c>
      <c r="F9" s="58">
        <f>F8/F4</f>
        <v>0.25815697009993971</v>
      </c>
      <c r="G9" s="15" t="s">
        <v>7</v>
      </c>
      <c r="H9" s="15" t="s">
        <v>190</v>
      </c>
    </row>
    <row r="10" spans="1:8" ht="15" customHeight="1" x14ac:dyDescent="0.25">
      <c r="A10" s="42" t="s">
        <v>191</v>
      </c>
      <c r="B10" s="48">
        <f>B4*B11</f>
        <v>74236.281981867331</v>
      </c>
      <c r="C10" s="48">
        <f>C4*C11</f>
        <v>60387.775996126344</v>
      </c>
      <c r="D10" s="48">
        <f>D4*D11</f>
        <v>65198.328546945391</v>
      </c>
      <c r="E10" s="48">
        <f>E4*E11</f>
        <v>65141.862051813281</v>
      </c>
      <c r="F10" s="48">
        <f>SUM(B10:E10)</f>
        <v>264964.24857675238</v>
      </c>
      <c r="G10" s="15" t="s">
        <v>185</v>
      </c>
      <c r="H10" s="15" t="s">
        <v>192</v>
      </c>
    </row>
    <row r="11" spans="1:8" ht="15" customHeight="1" x14ac:dyDescent="0.25">
      <c r="A11" s="42" t="s">
        <v>143</v>
      </c>
      <c r="B11" s="58">
        <f>'FY26 RL Assumptions'!G13</f>
        <v>0.1990702686905218</v>
      </c>
      <c r="C11" s="58">
        <f>'FY26 RL Assumptions'!H13</f>
        <v>0.19148676185718538</v>
      </c>
      <c r="D11" s="58">
        <f>'FY26 RL Assumptions'!I13</f>
        <v>0.19851822200443769</v>
      </c>
      <c r="E11" s="58">
        <f>'FY26 RL Assumptions'!J13</f>
        <v>0.21079085523228536</v>
      </c>
      <c r="F11" s="58">
        <f>F10/F4</f>
        <v>0.19986168955332878</v>
      </c>
      <c r="G11" s="15" t="s">
        <v>7</v>
      </c>
      <c r="H11" s="15" t="s">
        <v>193</v>
      </c>
    </row>
    <row r="12" spans="1:8" ht="15" customHeight="1" x14ac:dyDescent="0.25">
      <c r="A12" s="67" t="s">
        <v>53</v>
      </c>
      <c r="B12" s="68">
        <f>B4-B6-B8-B10</f>
        <v>91946.537887564336</v>
      </c>
      <c r="C12" s="68">
        <f>C4-C6-C8-C10</f>
        <v>81772.449689300614</v>
      </c>
      <c r="D12" s="68">
        <f>D4-D6-D8-D10</f>
        <v>79339.878648742102</v>
      </c>
      <c r="E12" s="68">
        <f>E4-E6-E8-E10</f>
        <v>64829.083226128991</v>
      </c>
      <c r="F12" s="68">
        <f>SUM(B12:E12)</f>
        <v>317887.94945173606</v>
      </c>
      <c r="G12" s="66" t="s">
        <v>185</v>
      </c>
      <c r="H12" s="66" t="s">
        <v>194</v>
      </c>
    </row>
    <row r="13" spans="1:8" ht="15" customHeight="1" x14ac:dyDescent="0.25">
      <c r="A13" s="67" t="s">
        <v>29</v>
      </c>
      <c r="B13" s="69">
        <f>B12/B4</f>
        <v>0.24656167461230746</v>
      </c>
      <c r="C13" s="69">
        <f>C12/C4</f>
        <v>0.25929654374319405</v>
      </c>
      <c r="D13" s="69">
        <f>D12/D4</f>
        <v>0.24157692374054049</v>
      </c>
      <c r="E13" s="69">
        <f>E12/E4</f>
        <v>0.20977874237447205</v>
      </c>
      <c r="F13" s="69">
        <f>F12/F4</f>
        <v>0.23978186871374579</v>
      </c>
      <c r="G13" s="66" t="s">
        <v>185</v>
      </c>
      <c r="H13" s="66" t="s">
        <v>195</v>
      </c>
    </row>
    <row r="14" spans="1:8" ht="15" customHeight="1" x14ac:dyDescent="0.25">
      <c r="A14" s="42" t="s">
        <v>33</v>
      </c>
      <c r="B14" s="56">
        <f>$F14*16/52</f>
        <v>6076.9230769230771</v>
      </c>
      <c r="C14" s="56">
        <f>$F14*12/52</f>
        <v>4557.6923076923076</v>
      </c>
      <c r="D14" s="56">
        <f>$F14*12/52</f>
        <v>4557.6923076923076</v>
      </c>
      <c r="E14" s="56">
        <f>$F14*12/52</f>
        <v>4557.6923076923076</v>
      </c>
      <c r="F14" s="56">
        <f>'FY26 RL Assumptions'!C21</f>
        <v>19750</v>
      </c>
      <c r="G14" s="15" t="s">
        <v>196</v>
      </c>
      <c r="H14" s="108" t="s">
        <v>197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zoomScaleNormal="100" workbookViewId="0">
      <selection activeCell="A7" sqref="A7"/>
    </sheetView>
  </sheetViews>
  <sheetFormatPr defaultColWidth="9.140625" defaultRowHeight="15" x14ac:dyDescent="0.25"/>
  <cols>
    <col min="1" max="1" width="34" style="15" customWidth="1"/>
    <col min="2" max="2" width="16" style="15" customWidth="1"/>
    <col min="3" max="3" width="23" style="15" customWidth="1"/>
    <col min="4" max="5" width="14" style="15" customWidth="1"/>
    <col min="6" max="6" width="16" style="15" customWidth="1"/>
    <col min="7" max="7" width="14" style="15" customWidth="1"/>
    <col min="8" max="8" width="18" style="15" customWidth="1"/>
    <col min="9" max="9" width="26" style="15" customWidth="1"/>
    <col min="10" max="10" width="24" style="15" customWidth="1"/>
    <col min="11" max="16384" width="9.140625" style="15"/>
  </cols>
  <sheetData>
    <row r="1" spans="1:14" ht="27.75" customHeight="1" x14ac:dyDescent="0.25">
      <c r="A1" s="102" t="s">
        <v>198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4" ht="15" customHeight="1" x14ac:dyDescent="0.25">
      <c r="L2" s="49" t="s">
        <v>1</v>
      </c>
      <c r="M2" s="49" t="s">
        <v>199</v>
      </c>
      <c r="N2" s="49" t="s">
        <v>200</v>
      </c>
    </row>
    <row r="3" spans="1:14" ht="30" customHeight="1" x14ac:dyDescent="0.25">
      <c r="A3" s="41" t="s">
        <v>1</v>
      </c>
      <c r="B3" s="41" t="s">
        <v>12</v>
      </c>
      <c r="C3" s="41" t="s">
        <v>201</v>
      </c>
      <c r="D3" s="41" t="s">
        <v>202</v>
      </c>
      <c r="E3" s="41" t="s">
        <v>60</v>
      </c>
      <c r="F3" s="41" t="s">
        <v>61</v>
      </c>
      <c r="G3" s="41" t="s">
        <v>62</v>
      </c>
      <c r="H3" s="41" t="s">
        <v>64</v>
      </c>
      <c r="I3" s="41" t="s">
        <v>203</v>
      </c>
      <c r="J3" s="41" t="s">
        <v>45</v>
      </c>
      <c r="L3" s="49" t="s">
        <v>201</v>
      </c>
      <c r="M3" s="70">
        <f>C7</f>
        <v>0.23978186871374579</v>
      </c>
      <c r="N3" s="49" t="s">
        <v>204</v>
      </c>
    </row>
    <row r="4" spans="1:14" ht="15" customHeight="1" x14ac:dyDescent="0.25">
      <c r="A4" s="42" t="s">
        <v>141</v>
      </c>
      <c r="B4" s="71">
        <f>'FY25 Actuals'!F8</f>
        <v>0.29820249280330047</v>
      </c>
      <c r="C4" s="58">
        <f>'FY26 RL Forecast'!F7</f>
        <v>0.30219947163298572</v>
      </c>
      <c r="D4" s="46">
        <f>C4-B4</f>
        <v>3.9969788296852493E-3</v>
      </c>
      <c r="E4" s="46"/>
      <c r="F4" s="46"/>
      <c r="G4" s="46"/>
      <c r="H4" s="46"/>
      <c r="I4" s="72" t="str">
        <f>IF(ABS(D4)&gt;ABS(D5),"Primary compression driver","Secondary driver")</f>
        <v>Primary compression driver</v>
      </c>
      <c r="J4" s="15" t="s">
        <v>7</v>
      </c>
      <c r="L4" s="49" t="s">
        <v>61</v>
      </c>
      <c r="M4" s="70">
        <f>F7</f>
        <v>0.23949999999999999</v>
      </c>
      <c r="N4" s="49" t="s">
        <v>23</v>
      </c>
    </row>
    <row r="5" spans="1:14" ht="15" customHeight="1" x14ac:dyDescent="0.25">
      <c r="A5" s="42" t="s">
        <v>142</v>
      </c>
      <c r="B5" s="71">
        <f>'FY25 Actuals'!F10</f>
        <v>0.25815839751780145</v>
      </c>
      <c r="C5" s="58">
        <f>'FY26 RL Forecast'!F9</f>
        <v>0.25815697009993971</v>
      </c>
      <c r="D5" s="46">
        <f>C5-B5</f>
        <v>-1.4274178617434963E-6</v>
      </c>
      <c r="E5" s="46"/>
      <c r="F5" s="46"/>
      <c r="G5" s="46"/>
      <c r="H5" s="46"/>
      <c r="I5" s="72" t="str">
        <f>IF(ABS(D5)&gt;ABS(D4),"Primary compression driver","Secondary driver")</f>
        <v>Secondary driver</v>
      </c>
      <c r="J5" s="15" t="s">
        <v>7</v>
      </c>
    </row>
    <row r="6" spans="1:14" ht="15" customHeight="1" x14ac:dyDescent="0.25">
      <c r="A6" s="42" t="s">
        <v>143</v>
      </c>
      <c r="B6" s="58">
        <f>'FY26 RL Assumptions'!F13</f>
        <v>0.19986168955332875</v>
      </c>
      <c r="C6" s="58">
        <f>'FY26 RL Forecast'!F11</f>
        <v>0.19986168955332878</v>
      </c>
      <c r="D6" s="46">
        <f>C6-B6</f>
        <v>0</v>
      </c>
      <c r="E6" s="46"/>
      <c r="F6" s="46"/>
      <c r="G6" s="46"/>
      <c r="H6" s="46"/>
      <c r="I6" s="72" t="s">
        <v>205</v>
      </c>
      <c r="J6" s="15" t="s">
        <v>7</v>
      </c>
    </row>
    <row r="7" spans="1:14" ht="15" customHeight="1" x14ac:dyDescent="0.25">
      <c r="A7" s="67" t="s">
        <v>29</v>
      </c>
      <c r="B7" s="73">
        <v>0.24399999999999999</v>
      </c>
      <c r="C7" s="73">
        <f>'FY26 RL Forecast'!F13</f>
        <v>0.23978186871374579</v>
      </c>
      <c r="D7" s="69">
        <f>C7-B7</f>
        <v>-4.2181312862542009E-3</v>
      </c>
      <c r="E7" s="69">
        <v>0.23699999999999999</v>
      </c>
      <c r="F7" s="69">
        <v>0.23949999999999999</v>
      </c>
      <c r="G7" s="69">
        <v>0.24199999999999999</v>
      </c>
      <c r="H7" s="69">
        <f>C7-F7</f>
        <v>2.8186871374580313E-4</v>
      </c>
      <c r="I7" s="74" t="str">
        <f>IF(C7&lt;E7,"Below guidance",IF(C7&gt;G7,"Above guidance","Within guidance"))</f>
        <v>Within guidance</v>
      </c>
      <c r="J7" s="66" t="s">
        <v>206</v>
      </c>
    </row>
    <row r="10" spans="1:14" ht="15" customHeight="1" x14ac:dyDescent="0.25">
      <c r="A10" s="103" t="s">
        <v>207</v>
      </c>
      <c r="B10" s="103"/>
      <c r="C10" s="103"/>
      <c r="D10" s="103"/>
      <c r="E10" s="103"/>
      <c r="F10" s="103"/>
      <c r="G10" s="103"/>
      <c r="H10" s="103"/>
      <c r="I10" s="103"/>
      <c r="J10" s="103"/>
    </row>
    <row r="11" spans="1:14" ht="15" customHeight="1" x14ac:dyDescent="0.25">
      <c r="A11" s="75" t="s">
        <v>208</v>
      </c>
      <c r="B11" s="107">
        <f>C7</f>
        <v>0.23978186871374579</v>
      </c>
      <c r="C11" s="75" t="s">
        <v>61</v>
      </c>
      <c r="D11" s="107">
        <f>F7</f>
        <v>0.23949999999999999</v>
      </c>
    </row>
    <row r="12" spans="1:14" ht="15" customHeight="1" x14ac:dyDescent="0.25">
      <c r="A12" s="75" t="s">
        <v>24</v>
      </c>
      <c r="B12" s="107">
        <f>H7</f>
        <v>2.8186871374580313E-4</v>
      </c>
      <c r="C12" s="75" t="s">
        <v>209</v>
      </c>
      <c r="D12" s="15" t="str">
        <f>TEXT(E7,"0.0%")&amp;"–"&amp;TEXT(G7,"0.0%")</f>
        <v>23.7%–24.2%</v>
      </c>
    </row>
    <row r="13" spans="1:14" ht="15" customHeight="1" x14ac:dyDescent="0.25">
      <c r="A13" s="75" t="s">
        <v>210</v>
      </c>
      <c r="B13" s="15" t="str">
        <f>IF(I4="Primary compression driver","COGS","Labor")</f>
        <v>COGS</v>
      </c>
      <c r="C13" s="75" t="s">
        <v>211</v>
      </c>
      <c r="D13" s="15" t="str">
        <f>IF(ABS(H7)&gt;=0.005,"Material","Not material")</f>
        <v>Not material</v>
      </c>
    </row>
    <row r="14" spans="1:14" ht="15" customHeight="1" x14ac:dyDescent="0.25">
      <c r="A14" s="75" t="s">
        <v>212</v>
      </c>
      <c r="B14" s="15" t="str">
        <f>TEXT('FY26 RL Assumptions'!B22/1000,"$0.0")&amp;"M–"&amp;TEXT('FY26 RL Assumptions'!D22/1000,"$0.0")&amp;"M"</f>
        <v>$176.0M–$184.0M</v>
      </c>
      <c r="C14" s="75" t="s">
        <v>213</v>
      </c>
      <c r="D14" s="15" t="str">
        <f>TEXT('FY26 RL Assumptions'!B21/1000,"$0.0")&amp;"M–"&amp;TEXT('FY26 RL Assumptions'!D21/1000,"$0.0")&amp;"M"</f>
        <v>$19.5M–$20.0M</v>
      </c>
    </row>
  </sheetData>
  <mergeCells count="2">
    <mergeCell ref="A1:J1"/>
    <mergeCell ref="A10:J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zoomScaleNormal="100" workbookViewId="0">
      <selection activeCell="G18" sqref="G18"/>
    </sheetView>
  </sheetViews>
  <sheetFormatPr defaultColWidth="55" defaultRowHeight="15" x14ac:dyDescent="0.25"/>
  <cols>
    <col min="1" max="1" width="38" style="15" customWidth="1"/>
    <col min="2" max="4" width="16" style="15" customWidth="1"/>
    <col min="5" max="5" width="14" style="15" customWidth="1"/>
    <col min="6" max="6" width="24" style="15" customWidth="1"/>
    <col min="7" max="7" width="44" style="15" customWidth="1"/>
    <col min="8" max="8" width="18" style="15" customWidth="1"/>
    <col min="9" max="16384" width="55" style="15"/>
  </cols>
  <sheetData>
    <row r="1" spans="1:9" ht="27.75" customHeight="1" x14ac:dyDescent="0.25">
      <c r="A1" s="102" t="s">
        <v>214</v>
      </c>
      <c r="B1" s="102"/>
      <c r="C1" s="102"/>
      <c r="D1" s="102"/>
      <c r="E1" s="102"/>
      <c r="F1" s="102"/>
      <c r="G1" s="102"/>
      <c r="H1" s="102"/>
    </row>
    <row r="3" spans="1:9" ht="15" customHeight="1" x14ac:dyDescent="0.25">
      <c r="A3" s="41" t="s">
        <v>1</v>
      </c>
      <c r="B3" s="41" t="s">
        <v>148</v>
      </c>
      <c r="C3" s="41" t="s">
        <v>149</v>
      </c>
      <c r="D3" s="41" t="s">
        <v>150</v>
      </c>
      <c r="E3" s="41" t="s">
        <v>25</v>
      </c>
      <c r="F3" s="41" t="s">
        <v>45</v>
      </c>
      <c r="G3" s="41" t="s">
        <v>215</v>
      </c>
      <c r="H3" s="41" t="s">
        <v>216</v>
      </c>
      <c r="I3" s="76" t="s">
        <v>217</v>
      </c>
    </row>
    <row r="4" spans="1:9" ht="15" customHeight="1" x14ac:dyDescent="0.25">
      <c r="A4" s="42" t="s">
        <v>218</v>
      </c>
      <c r="B4" s="58">
        <f>'FY26 RL Assumptions'!B19</f>
        <v>0.03</v>
      </c>
      <c r="C4" s="58">
        <f>'FY26 RL Assumptions'!C19</f>
        <v>0.04</v>
      </c>
      <c r="D4" s="58">
        <f>'FY26 RL Assumptions'!D19</f>
        <v>0.05</v>
      </c>
      <c r="E4" s="15" t="s">
        <v>91</v>
      </c>
      <c r="F4" s="15" t="s">
        <v>6</v>
      </c>
      <c r="G4" s="15" t="s">
        <v>219</v>
      </c>
      <c r="H4" s="15" t="s">
        <v>220</v>
      </c>
    </row>
    <row r="5" spans="1:9" ht="15" customHeight="1" x14ac:dyDescent="0.25">
      <c r="A5" s="42" t="s">
        <v>26</v>
      </c>
      <c r="B5" s="77">
        <f>'FY26 RL Assumptions'!B18</f>
        <v>74</v>
      </c>
      <c r="C5" s="77">
        <f>'FY26 RL Assumptions'!C18</f>
        <v>75</v>
      </c>
      <c r="D5" s="77">
        <f>'FY26 RL Assumptions'!D18</f>
        <v>76</v>
      </c>
      <c r="E5" s="15" t="s">
        <v>27</v>
      </c>
      <c r="F5" s="15" t="s">
        <v>6</v>
      </c>
      <c r="G5" s="15" t="s">
        <v>219</v>
      </c>
      <c r="H5" s="15" t="s">
        <v>220</v>
      </c>
    </row>
    <row r="6" spans="1:9" ht="15" customHeight="1" x14ac:dyDescent="0.25">
      <c r="A6" s="42" t="s">
        <v>221</v>
      </c>
      <c r="B6" s="56">
        <f>'FY26 RL Assumptions'!F4*(1+'FY26 RL Assumptions'!B19)+('FY26 RL Assumptions'!B18*'FY26 RL Assumptions'!F6*'FY26 RL Assumptions'!B23*'FY26 RL Assumptions'!B24)</f>
        <v>1312622.92</v>
      </c>
      <c r="C6" s="56">
        <f>'FY26 RL Assumptions'!F4*(1+'FY26 RL Assumptions'!C19)+('FY26 RL Assumptions'!C18*'FY26 RL Assumptions'!F6*'FY26 RL Assumptions'!C23*'FY26 RL Assumptions'!C24)</f>
        <v>1325738.06</v>
      </c>
      <c r="D6" s="56">
        <f>'FY26 RL Assumptions'!F4*(1+'FY26 RL Assumptions'!D19)+('FY26 RL Assumptions'!D18*'FY26 RL Assumptions'!F6*'FY26 RL Assumptions'!D23*'FY26 RL Assumptions'!D24)</f>
        <v>1338853.2</v>
      </c>
      <c r="E6" s="15" t="s">
        <v>34</v>
      </c>
      <c r="F6" s="15" t="s">
        <v>7</v>
      </c>
      <c r="G6" s="15" t="s">
        <v>222</v>
      </c>
      <c r="H6" s="15" t="s">
        <v>223</v>
      </c>
    </row>
    <row r="7" spans="1:9" ht="15" customHeight="1" x14ac:dyDescent="0.25">
      <c r="A7" s="42" t="s">
        <v>224</v>
      </c>
      <c r="B7" s="56">
        <f>B6*'FY26 RL Forecast'!F7</f>
        <v>396673.95287734683</v>
      </c>
      <c r="C7" s="56">
        <f>C6*'FY26 RL Forecast'!F7</f>
        <v>400637.34125573951</v>
      </c>
      <c r="D7" s="56">
        <f>D6*'FY26 RL Forecast'!F7</f>
        <v>404600.72963413212</v>
      </c>
      <c r="E7" s="15" t="s">
        <v>34</v>
      </c>
      <c r="F7" s="15" t="s">
        <v>7</v>
      </c>
      <c r="G7" s="15" t="s">
        <v>225</v>
      </c>
      <c r="H7" s="15" t="s">
        <v>223</v>
      </c>
    </row>
    <row r="8" spans="1:9" ht="15" customHeight="1" x14ac:dyDescent="0.25">
      <c r="A8" s="42" t="s">
        <v>226</v>
      </c>
      <c r="B8" s="56">
        <f>B6*'FY26 RL Forecast'!F9</f>
        <v>338862.75591093552</v>
      </c>
      <c r="C8" s="56">
        <f>C6*'FY26 RL Forecast'!F9</f>
        <v>342248.52071577212</v>
      </c>
      <c r="D8" s="56">
        <f>D6*'FY26 RL Forecast'!F9</f>
        <v>345634.2855206086</v>
      </c>
      <c r="E8" s="15" t="s">
        <v>34</v>
      </c>
      <c r="F8" s="15" t="s">
        <v>7</v>
      </c>
      <c r="G8" s="15" t="s">
        <v>227</v>
      </c>
      <c r="H8" s="15" t="s">
        <v>223</v>
      </c>
    </row>
    <row r="9" spans="1:9" ht="90" customHeight="1" x14ac:dyDescent="0.25">
      <c r="A9" s="42" t="s">
        <v>53</v>
      </c>
      <c r="B9" s="56">
        <f>B6*'FY26 RL Assumptions'!B20</f>
        <v>311091.63203999994</v>
      </c>
      <c r="C9" s="56">
        <f>C6*'FY26 RL Assumptions'!C20</f>
        <v>317514.26536999998</v>
      </c>
      <c r="D9" s="56">
        <f>D6*'FY26 RL Assumptions'!D20</f>
        <v>324002.47440000001</v>
      </c>
      <c r="E9" s="15" t="s">
        <v>34</v>
      </c>
      <c r="F9" s="15" t="s">
        <v>6</v>
      </c>
      <c r="G9" s="15" t="s">
        <v>228</v>
      </c>
      <c r="H9" s="15" t="s">
        <v>229</v>
      </c>
      <c r="I9" s="78" t="s">
        <v>230</v>
      </c>
    </row>
    <row r="10" spans="1:9" ht="15" customHeight="1" x14ac:dyDescent="0.25">
      <c r="A10" s="42" t="s">
        <v>32</v>
      </c>
      <c r="B10" s="79">
        <f>'FY26 RL Assumptions'!B20</f>
        <v>0.23699999999999999</v>
      </c>
      <c r="C10" s="79">
        <f>'FY26 RL Assumptions'!C20</f>
        <v>0.23949999999999999</v>
      </c>
      <c r="D10" s="79">
        <f>'FY26 RL Assumptions'!D20</f>
        <v>0.24199999999999999</v>
      </c>
      <c r="E10" s="15" t="s">
        <v>91</v>
      </c>
      <c r="F10" s="15" t="s">
        <v>6</v>
      </c>
      <c r="G10" s="15" t="s">
        <v>219</v>
      </c>
      <c r="H10" s="15" t="s">
        <v>220</v>
      </c>
    </row>
    <row r="11" spans="1:9" ht="15" customHeight="1" x14ac:dyDescent="0.25">
      <c r="A11" s="42" t="s">
        <v>231</v>
      </c>
      <c r="B11" s="56">
        <f>B6-B7-B8-B9</f>
        <v>265994.57917171752</v>
      </c>
      <c r="C11" s="56">
        <f>C6-C7-C8-C9</f>
        <v>265337.93265848834</v>
      </c>
      <c r="D11" s="56">
        <f>D6-D7-D8-D9</f>
        <v>264615.71044525917</v>
      </c>
      <c r="E11" s="15" t="s">
        <v>34</v>
      </c>
      <c r="F11" s="15" t="s">
        <v>232</v>
      </c>
      <c r="G11" s="15" t="s">
        <v>233</v>
      </c>
      <c r="H11" s="15" t="s">
        <v>223</v>
      </c>
    </row>
    <row r="12" spans="1:9" ht="15" customHeight="1" x14ac:dyDescent="0.25">
      <c r="A12" s="42" t="s">
        <v>33</v>
      </c>
      <c r="B12" s="56">
        <f>'FY26 RL Assumptions'!B21</f>
        <v>19500</v>
      </c>
      <c r="C12" s="56">
        <f>'FY26 RL Assumptions'!C21</f>
        <v>19750</v>
      </c>
      <c r="D12" s="56">
        <f>'FY26 RL Assumptions'!D21</f>
        <v>20000</v>
      </c>
      <c r="E12" s="15" t="s">
        <v>34</v>
      </c>
      <c r="F12" s="15" t="s">
        <v>6</v>
      </c>
      <c r="G12" s="15" t="s">
        <v>219</v>
      </c>
      <c r="H12" s="15" t="s">
        <v>220</v>
      </c>
    </row>
    <row r="13" spans="1:9" ht="15" customHeight="1" x14ac:dyDescent="0.25">
      <c r="A13" s="42" t="s">
        <v>8</v>
      </c>
      <c r="B13" s="56">
        <f>'FY26 RL Assumptions'!B22</f>
        <v>176000</v>
      </c>
      <c r="C13" s="56">
        <f>'FY26 RL Assumptions'!C22</f>
        <v>180000</v>
      </c>
      <c r="D13" s="56">
        <f>'FY26 RL Assumptions'!D22</f>
        <v>184000</v>
      </c>
      <c r="E13" s="15" t="s">
        <v>34</v>
      </c>
      <c r="F13" s="15" t="s">
        <v>6</v>
      </c>
      <c r="G13" s="15" t="s">
        <v>219</v>
      </c>
      <c r="H13" s="15" t="s">
        <v>220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zoomScaleNormal="100" workbookViewId="0">
      <selection activeCell="H17" sqref="H17"/>
    </sheetView>
  </sheetViews>
  <sheetFormatPr defaultColWidth="9" defaultRowHeight="15" x14ac:dyDescent="0.25"/>
  <cols>
    <col min="1" max="1" width="24" style="15" customWidth="1"/>
    <col min="2" max="2" width="72" style="15" customWidth="1"/>
    <col min="3" max="8" width="18" style="15" customWidth="1"/>
    <col min="9" max="16384" width="9" style="15"/>
  </cols>
  <sheetData>
    <row r="1" spans="1:8" ht="27.75" customHeight="1" x14ac:dyDescent="0.25">
      <c r="A1" s="106" t="s">
        <v>234</v>
      </c>
      <c r="B1" s="106"/>
      <c r="C1" s="106"/>
      <c r="D1" s="106"/>
      <c r="E1" s="106"/>
      <c r="F1" s="106"/>
      <c r="G1" s="106"/>
      <c r="H1" s="106"/>
    </row>
    <row r="2" spans="1:8" ht="15" customHeight="1" x14ac:dyDescent="0.25">
      <c r="A2" s="55"/>
      <c r="B2" s="55"/>
      <c r="C2" s="55"/>
      <c r="D2" s="55"/>
      <c r="E2" s="55"/>
      <c r="F2" s="55"/>
      <c r="G2" s="55"/>
      <c r="H2" s="55"/>
    </row>
    <row r="3" spans="1:8" ht="15" customHeight="1" x14ac:dyDescent="0.25">
      <c r="A3" s="80" t="s">
        <v>235</v>
      </c>
      <c r="B3" s="81" t="s">
        <v>236</v>
      </c>
      <c r="C3" s="55"/>
      <c r="D3" s="55"/>
      <c r="E3" s="55"/>
      <c r="F3" s="55"/>
      <c r="G3" s="55"/>
      <c r="H3" s="55"/>
    </row>
    <row r="4" spans="1:8" ht="15" customHeight="1" x14ac:dyDescent="0.25">
      <c r="A4" s="80" t="s">
        <v>83</v>
      </c>
      <c r="B4" s="81" t="s">
        <v>237</v>
      </c>
      <c r="C4" s="55"/>
      <c r="D4" s="55"/>
      <c r="E4" s="55"/>
      <c r="F4" s="55"/>
      <c r="G4" s="55"/>
      <c r="H4" s="55"/>
    </row>
    <row r="5" spans="1:8" ht="15" customHeight="1" x14ac:dyDescent="0.25">
      <c r="A5" s="80" t="s">
        <v>238</v>
      </c>
      <c r="B5" s="55" t="s">
        <v>239</v>
      </c>
      <c r="C5" s="82" t="s">
        <v>240</v>
      </c>
      <c r="D5" s="55"/>
      <c r="E5" s="55"/>
      <c r="F5" s="55"/>
      <c r="G5" s="55"/>
      <c r="H5" s="55"/>
    </row>
    <row r="6" spans="1:8" ht="15" customHeight="1" x14ac:dyDescent="0.25">
      <c r="A6" s="80" t="s">
        <v>164</v>
      </c>
      <c r="B6" s="81" t="s">
        <v>241</v>
      </c>
      <c r="C6" s="55"/>
      <c r="D6" s="55"/>
      <c r="E6" s="55"/>
      <c r="F6" s="55"/>
      <c r="G6" s="55"/>
      <c r="H6" s="55"/>
    </row>
    <row r="7" spans="1:8" ht="15" customHeight="1" x14ac:dyDescent="0.25">
      <c r="A7" s="80" t="s">
        <v>242</v>
      </c>
      <c r="B7" s="81" t="s">
        <v>243</v>
      </c>
      <c r="C7" s="55"/>
      <c r="D7" s="55"/>
      <c r="E7" s="55"/>
      <c r="F7" s="55"/>
      <c r="G7" s="55"/>
      <c r="H7" s="55"/>
    </row>
    <row r="8" spans="1:8" ht="15" customHeight="1" x14ac:dyDescent="0.25">
      <c r="A8" s="80" t="s">
        <v>244</v>
      </c>
      <c r="B8" s="81" t="s">
        <v>245</v>
      </c>
      <c r="C8" s="55"/>
      <c r="D8" s="55"/>
      <c r="E8" s="55"/>
      <c r="F8" s="55"/>
      <c r="G8" s="55"/>
      <c r="H8" s="55"/>
    </row>
    <row r="9" spans="1:8" ht="15" customHeight="1" x14ac:dyDescent="0.25">
      <c r="A9" s="80" t="s">
        <v>173</v>
      </c>
      <c r="B9" s="81" t="s">
        <v>246</v>
      </c>
      <c r="C9" s="55"/>
      <c r="D9" s="55"/>
      <c r="E9" s="55"/>
      <c r="F9" s="55"/>
      <c r="G9" s="55"/>
      <c r="H9" s="55"/>
    </row>
    <row r="10" spans="1:8" ht="15" customHeight="1" x14ac:dyDescent="0.25">
      <c r="A10" s="80" t="s">
        <v>247</v>
      </c>
      <c r="B10" s="81" t="s">
        <v>248</v>
      </c>
      <c r="C10" s="55"/>
      <c r="D10" s="55"/>
      <c r="E10" s="55"/>
      <c r="F10" s="55"/>
      <c r="G10" s="55"/>
      <c r="H10" s="55"/>
    </row>
    <row r="11" spans="1:8" ht="15" customHeight="1" x14ac:dyDescent="0.25">
      <c r="A11" s="80" t="s">
        <v>249</v>
      </c>
      <c r="B11" s="81" t="s">
        <v>250</v>
      </c>
      <c r="C11" s="55"/>
      <c r="D11" s="55"/>
      <c r="E11" s="55"/>
      <c r="F11" s="55"/>
      <c r="G11" s="55"/>
      <c r="H11" s="55"/>
    </row>
    <row r="12" spans="1:8" ht="15" customHeight="1" x14ac:dyDescent="0.25">
      <c r="A12" s="80" t="s">
        <v>302</v>
      </c>
      <c r="B12" s="109" t="s">
        <v>303</v>
      </c>
      <c r="C12" s="55"/>
      <c r="D12" s="55"/>
      <c r="E12" s="55"/>
      <c r="F12" s="55"/>
      <c r="G12" s="55"/>
      <c r="H12" s="55"/>
    </row>
    <row r="13" spans="1:8" ht="23.25" customHeight="1" x14ac:dyDescent="0.25">
      <c r="A13" s="83" t="s">
        <v>251</v>
      </c>
      <c r="B13" s="83" t="s">
        <v>252</v>
      </c>
      <c r="C13" s="83" t="s">
        <v>253</v>
      </c>
      <c r="D13" s="83" t="s">
        <v>254</v>
      </c>
      <c r="E13" s="83" t="s">
        <v>255</v>
      </c>
      <c r="F13" s="83"/>
      <c r="G13" s="83"/>
      <c r="H13" s="83"/>
    </row>
    <row r="14" spans="1:8" ht="67.5" customHeight="1" x14ac:dyDescent="0.25">
      <c r="A14" s="81" t="s">
        <v>256</v>
      </c>
      <c r="B14" s="81" t="s">
        <v>257</v>
      </c>
      <c r="C14" s="81" t="s">
        <v>258</v>
      </c>
      <c r="D14" s="81" t="s">
        <v>259</v>
      </c>
      <c r="E14" s="81" t="s">
        <v>260</v>
      </c>
      <c r="F14" s="81"/>
      <c r="G14" s="81"/>
      <c r="H14" s="81"/>
    </row>
    <row r="15" spans="1:8" ht="15" customHeight="1" x14ac:dyDescent="0.25">
      <c r="A15" s="55"/>
      <c r="B15" s="55"/>
      <c r="C15" s="55"/>
      <c r="D15" s="55"/>
      <c r="E15" s="55"/>
      <c r="F15" s="55"/>
      <c r="G15" s="55"/>
      <c r="H15" s="55"/>
    </row>
    <row r="16" spans="1:8" ht="15" customHeight="1" x14ac:dyDescent="0.25">
      <c r="A16" s="55"/>
      <c r="B16" s="55"/>
      <c r="C16" s="55"/>
      <c r="D16" s="55"/>
      <c r="E16" s="55"/>
      <c r="F16" s="55"/>
      <c r="G16" s="55"/>
      <c r="H16" s="55"/>
    </row>
    <row r="17" spans="1:8" ht="15" customHeight="1" x14ac:dyDescent="0.25">
      <c r="A17" s="55"/>
      <c r="B17" s="55"/>
      <c r="C17" s="55"/>
      <c r="D17" s="55"/>
      <c r="E17" s="55"/>
      <c r="F17" s="55"/>
      <c r="G17" s="55"/>
      <c r="H17" s="55"/>
    </row>
    <row r="18" spans="1:8" ht="15" customHeight="1" x14ac:dyDescent="0.25">
      <c r="A18" s="55"/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5"/>
      <c r="B19" s="55"/>
      <c r="C19" s="55"/>
      <c r="D19" s="55"/>
      <c r="E19" s="55"/>
      <c r="F19" s="55"/>
      <c r="G19" s="55"/>
      <c r="H19" s="55"/>
    </row>
    <row r="20" spans="1:8" ht="15" customHeight="1" x14ac:dyDescent="0.25">
      <c r="A20" s="55"/>
      <c r="B20" s="55"/>
      <c r="C20" s="55"/>
      <c r="D20" s="55"/>
      <c r="E20" s="55"/>
      <c r="F20" s="55"/>
      <c r="G20" s="55"/>
      <c r="H20" s="55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showGridLines="0" zoomScaleNormal="100" workbookViewId="0">
      <selection activeCell="G7" sqref="G7"/>
    </sheetView>
  </sheetViews>
  <sheetFormatPr defaultColWidth="7.5703125" defaultRowHeight="15" x14ac:dyDescent="0.25"/>
  <cols>
    <col min="1" max="1" width="28" style="84" customWidth="1"/>
    <col min="2" max="2" width="54.28515625" style="84" customWidth="1"/>
    <col min="3" max="16384" width="7.5703125" style="84"/>
  </cols>
  <sheetData>
    <row r="1" spans="1:2" ht="15.75" customHeight="1" x14ac:dyDescent="0.3">
      <c r="A1" s="85" t="s">
        <v>261</v>
      </c>
      <c r="B1" s="86"/>
    </row>
    <row r="2" spans="1:2" ht="25.5" customHeight="1" x14ac:dyDescent="0.25">
      <c r="A2" s="14" t="s">
        <v>262</v>
      </c>
      <c r="B2" s="14"/>
    </row>
    <row r="4" spans="1:2" ht="15" customHeight="1" x14ac:dyDescent="0.25">
      <c r="A4" s="87" t="s">
        <v>263</v>
      </c>
      <c r="B4" s="87" t="s">
        <v>264</v>
      </c>
    </row>
    <row r="5" spans="1:2" ht="43.5" customHeight="1" x14ac:dyDescent="0.25">
      <c r="A5" s="88" t="s">
        <v>265</v>
      </c>
      <c r="B5" s="89" t="s">
        <v>266</v>
      </c>
    </row>
    <row r="6" spans="1:2" ht="43.5" customHeight="1" x14ac:dyDescent="0.25">
      <c r="A6" s="88" t="s">
        <v>267</v>
      </c>
      <c r="B6" s="89" t="s">
        <v>268</v>
      </c>
    </row>
    <row r="7" spans="1:2" ht="43.5" customHeight="1" x14ac:dyDescent="0.25">
      <c r="A7" s="88" t="s">
        <v>269</v>
      </c>
      <c r="B7" s="89" t="s">
        <v>270</v>
      </c>
    </row>
    <row r="8" spans="1:2" ht="43.5" customHeight="1" x14ac:dyDescent="0.25">
      <c r="A8" s="90" t="s">
        <v>271</v>
      </c>
      <c r="B8" s="91" t="s">
        <v>272</v>
      </c>
    </row>
    <row r="9" spans="1:2" ht="52.5" customHeight="1" x14ac:dyDescent="0.25">
      <c r="A9" s="90" t="s">
        <v>273</v>
      </c>
      <c r="B9" s="91" t="s">
        <v>274</v>
      </c>
    </row>
    <row r="10" spans="1:2" ht="52.5" customHeight="1" x14ac:dyDescent="0.25">
      <c r="A10" s="90" t="s">
        <v>275</v>
      </c>
      <c r="B10" s="92" t="s">
        <v>276</v>
      </c>
    </row>
    <row r="11" spans="1:2" ht="38.25" customHeight="1" x14ac:dyDescent="0.25">
      <c r="A11" s="88" t="s">
        <v>277</v>
      </c>
      <c r="B11" s="89" t="s">
        <v>278</v>
      </c>
    </row>
  </sheetData>
  <mergeCells count="1">
    <mergeCell ref="A2:B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zoomScaleNormal="100" workbookViewId="0">
      <selection activeCell="F25" sqref="F25"/>
    </sheetView>
  </sheetViews>
  <sheetFormatPr defaultColWidth="8.7109375" defaultRowHeight="15" x14ac:dyDescent="0.25"/>
  <cols>
    <col min="1" max="1" width="34" customWidth="1"/>
    <col min="2" max="2" width="16" customWidth="1"/>
    <col min="3" max="3" width="38" customWidth="1"/>
    <col min="4" max="4" width="80" customWidth="1"/>
  </cols>
  <sheetData>
    <row r="1" spans="1:4" ht="27.75" customHeight="1" x14ac:dyDescent="0.25">
      <c r="A1" s="102" t="s">
        <v>279</v>
      </c>
      <c r="B1" s="102"/>
      <c r="C1" s="102"/>
      <c r="D1" s="102"/>
    </row>
    <row r="3" spans="1:4" ht="15" customHeight="1" x14ac:dyDescent="0.25">
      <c r="A3" s="41" t="s">
        <v>280</v>
      </c>
      <c r="B3" s="41" t="s">
        <v>281</v>
      </c>
      <c r="C3" s="41" t="s">
        <v>282</v>
      </c>
      <c r="D3" s="41" t="s">
        <v>283</v>
      </c>
    </row>
    <row r="4" spans="1:4" ht="14.25" customHeight="1" x14ac:dyDescent="0.25">
      <c r="A4" s="93" t="s">
        <v>284</v>
      </c>
      <c r="B4" s="93" t="s">
        <v>285</v>
      </c>
      <c r="C4" s="93" t="s">
        <v>286</v>
      </c>
      <c r="D4" s="93" t="s">
        <v>74</v>
      </c>
    </row>
    <row r="5" spans="1:4" ht="14.25" customHeight="1" x14ac:dyDescent="0.25">
      <c r="A5" s="93" t="s">
        <v>287</v>
      </c>
      <c r="B5" s="93" t="s">
        <v>288</v>
      </c>
      <c r="C5" s="93" t="s">
        <v>289</v>
      </c>
      <c r="D5" s="93" t="s">
        <v>290</v>
      </c>
    </row>
    <row r="6" spans="1:4" ht="14.25" customHeight="1" x14ac:dyDescent="0.25">
      <c r="A6" s="93" t="s">
        <v>291</v>
      </c>
      <c r="B6" s="93" t="s">
        <v>292</v>
      </c>
      <c r="C6" s="93" t="s">
        <v>293</v>
      </c>
      <c r="D6" s="93" t="s">
        <v>294</v>
      </c>
    </row>
    <row r="7" spans="1:4" ht="14.25" customHeight="1" x14ac:dyDescent="0.25">
      <c r="A7" s="93" t="s">
        <v>295</v>
      </c>
      <c r="B7" s="93" t="s">
        <v>296</v>
      </c>
      <c r="C7" s="93" t="s">
        <v>297</v>
      </c>
      <c r="D7" s="93" t="s">
        <v>298</v>
      </c>
    </row>
    <row r="8" spans="1:4" ht="14.25" customHeight="1" x14ac:dyDescent="0.25">
      <c r="A8" s="93" t="s">
        <v>299</v>
      </c>
      <c r="B8" s="93" t="s">
        <v>300</v>
      </c>
      <c r="C8" s="93" t="s">
        <v>301</v>
      </c>
      <c r="D8" s="93" t="s">
        <v>75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KPI Dashboard</vt:lpstr>
      <vt:lpstr>Guidance vs Actual</vt:lpstr>
      <vt:lpstr>Quarterly Trend</vt:lpstr>
      <vt:lpstr>FY25 Actuals</vt:lpstr>
      <vt:lpstr>FY26 RL Assumptions</vt:lpstr>
      <vt:lpstr>FY26 RL Forecast</vt:lpstr>
      <vt:lpstr>Margin Reconciliation</vt:lpstr>
      <vt:lpstr>Scenario Summary</vt:lpstr>
      <vt:lpstr>Model Guide</vt:lpstr>
      <vt:lpstr>Data Gaps</vt:lpstr>
      <vt:lpstr>Source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Aristotle Polites</cp:lastModifiedBy>
  <cp:revision>4</cp:revision>
  <cp:lastPrinted>2026-07-18T18:41:02Z</cp:lastPrinted>
  <dcterms:created xsi:type="dcterms:W3CDTF">2026-07-18T15:02:37Z</dcterms:created>
  <dcterms:modified xsi:type="dcterms:W3CDTF">2026-07-18T18:45:43Z</dcterms:modified>
  <dc:language>en-US</dc:language>
</cp:coreProperties>
</file>